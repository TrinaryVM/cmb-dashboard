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MB Hardware" sheetId="2" state="visible" r:id="rId4"/>
    <sheet name="Entropy &amp; Processing" sheetId="3" state="visible" r:id="rId5"/>
    <sheet name="Validation Tests" sheetId="4" state="visible" r:id="rId6"/>
    <sheet name="Cost Comparison" sheetId="5" state="visible" r:id="rId7"/>
    <sheet name="Crypto Integration" sheetId="6" state="visible" r:id="rId8"/>
    <sheet name="MRNG Deep Dive" sheetId="7" state="visible" r:id="rId9"/>
    <sheet name="Signal Pipelin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<sst xmlns="http://schemas.openxmlformats.org/spreadsheetml/2006/main" count="1113" uniqueCount="874">
  <si>
    <t xml:space="preserve">CMB-Based RNG vs Cosmic Ray MRNG: Comparison</t>
  </si>
  <si>
    <t xml:space="preserve">Generated 2026-04-13 | Sources: Lee &amp; Cleaver 2017, Kutschera et al. 2023, Chapman et al. 2016</t>
  </si>
  <si>
    <t xml:space="preserve">Dimension</t>
  </si>
  <si>
    <t xml:space="preserve">CMB Radiometer RNG</t>
  </si>
  <si>
    <t xml:space="preserve">Cosmic Ray MRNG (Smartphone)</t>
  </si>
  <si>
    <t xml:space="preserve">Camera Dark Noise QRNG</t>
  </si>
  <si>
    <t xml:space="preserve">Geiger Tube TRNG</t>
  </si>
  <si>
    <t xml:space="preserve">Muon-Ra (SiPM+Scint.)</t>
  </si>
  <si>
    <t xml:space="preserve">Intel RDSEED</t>
  </si>
  <si>
    <t xml:space="preserve">Hardware QRNG (IDQ)</t>
  </si>
  <si>
    <t xml:space="preserve">Physical source</t>
  </si>
  <si>
    <t xml:space="preserve">CMB photons + receiver thermal noise</t>
  </si>
  <si>
    <t xml:space="preserve">Cosmic ray muon ionization in CMOS</t>
  </si>
  <si>
    <t xml:space="preserve">Quantum shot noise in CMOS dark current</t>
  </si>
  <si>
    <t xml:space="preserve">Radioactive beta/gamma decay timing</t>
  </si>
  <si>
    <t xml:space="preserve">Cosmic ray muon inter-arrival timing</t>
  </si>
  <si>
    <t xml:space="preserve">Thermal noise in silicon</t>
  </si>
  <si>
    <t xml:space="preserve">Vacuum fluctuations / photon splitting</t>
  </si>
  <si>
    <t xml:space="preserve">Randomness origin</t>
  </si>
  <si>
    <t xml:space="preserve">Quantum (blackbody + Johnson-Nyquist)</t>
  </si>
  <si>
    <t xml:space="preserve">Quantum (particle physics)</t>
  </si>
  <si>
    <t xml:space="preserve">Quantum (shot noise)</t>
  </si>
  <si>
    <t xml:space="preserve">Quantum (nuclear decay)</t>
  </si>
  <si>
    <t xml:space="preserve">Thermal (not purely quantum)</t>
  </si>
  <si>
    <t xml:space="preserve">Quantum</t>
  </si>
  <si>
    <t xml:space="preserve">Entropy rate</t>
  </si>
  <si>
    <t xml:space="preserve">100 kbit/s - 500 Mbit/s</t>
  </si>
  <si>
    <t xml:space="preserve">~0.03 bits/hr (phone, sea level)</t>
  </si>
  <si>
    <t xml:space="preserve">~2.4 Mbit/s</t>
  </si>
  <si>
    <t xml:space="preserve">~11 bits/s</t>
  </si>
  <si>
    <t xml:space="preserve">~10-100 bits/min (est.)</t>
  </si>
  <si>
    <t xml:space="preserve">Gbit/s</t>
  </si>
  <si>
    <t xml:space="preserve">Latency to first bit</t>
  </si>
  <si>
    <t xml:space="preserve">Milliseconds (after warmup)</t>
  </si>
  <si>
    <t xml:space="preserve">Hours to days</t>
  </si>
  <si>
    <t xml:space="preserve">Milliseconds</t>
  </si>
  <si>
    <t xml:space="preserve">Seconds</t>
  </si>
  <si>
    <t xml:space="preserve">Minutes</t>
  </si>
  <si>
    <t xml:space="preserve">Nanoseconds</t>
  </si>
  <si>
    <t xml:space="preserve">Hardware cost (entry)</t>
  </si>
  <si>
    <t xml:space="preserve">$130-220 (Tier 1)</t>
  </si>
  <si>
    <t xml:space="preserve">$0 (existing phone)</t>
  </si>
  <si>
    <t xml:space="preserve">$0 (phone + dim LED)</t>
  </si>
  <si>
    <t xml:space="preserve">$50-200</t>
  </si>
  <si>
    <t xml:space="preserve">$200-500</t>
  </si>
  <si>
    <t xml:space="preserve">$0 (in modern CPU)</t>
  </si>
  <si>
    <t xml:space="preserve">$1,000-10,000</t>
  </si>
  <si>
    <t xml:space="preserve">Portability</t>
  </si>
  <si>
    <t xml:space="preserve">Low (dish + LNB + SDR)</t>
  </si>
  <si>
    <t xml:space="preserve">Excellent (smartphone)</t>
  </si>
  <si>
    <t xml:space="preserve">Limited (Geiger tube)</t>
  </si>
  <si>
    <t xml:space="preserve">Poor (scintillator + SiPM)</t>
  </si>
  <si>
    <t xml:space="preserve">Excellent (in CPU)</t>
  </si>
  <si>
    <t xml:space="preserve">Poor (rack unit)</t>
  </si>
  <si>
    <t xml:space="preserve">NIST SP 800-22</t>
  </si>
  <si>
    <t xml:space="preserve">98.9% pass (Chapman 2016, SHA-256)</t>
  </si>
  <si>
    <t xml:space="preserve">6/6 applicable (limited sample)</t>
  </si>
  <si>
    <t xml:space="preserve">15/15 pass (Park)</t>
  </si>
  <si>
    <t xml:space="preserve">Partial pass (runs, chi-sq)</t>
  </si>
  <si>
    <t xml:space="preserve">Full suite pass</t>
  </si>
  <si>
    <t xml:space="preserve">Full suite pass (CAVP)</t>
  </si>
  <si>
    <t xml:space="preserve">Dieharder</t>
  </si>
  <si>
    <t xml:space="preserve">Not reported (Chapman)</t>
  </si>
  <si>
    <t xml:space="preserve">Not tested (insufficient data)</t>
  </si>
  <si>
    <t xml:space="preserve">Via SP 800-90B</t>
  </si>
  <si>
    <t xml:space="preserve">Not tested</t>
  </si>
  <si>
    <t xml:space="preserve">Pass</t>
  </si>
  <si>
    <t xml:space="preserve">TestU01</t>
  </si>
  <si>
    <t xml:space="preserve">Not reported</t>
  </si>
  <si>
    <t xml:space="preserve">PQC library integration</t>
  </si>
  <si>
    <t xml:space="preserve">Direct (liboqs custom RNG callback)</t>
  </si>
  <si>
    <t xml:space="preserve">Seed injection only (too slow for primary)</t>
  </si>
  <si>
    <t xml:space="preserve">Direct (augment os.urandom)</t>
  </si>
  <si>
    <t xml:space="preserve">Direct (via /dev/hwrng)</t>
  </si>
  <si>
    <t xml:space="preserve">Native (OS pool)</t>
  </si>
  <si>
    <t xml:space="preserve">Native (via PCIe/USB driver)</t>
  </si>
  <si>
    <t xml:space="preserve">CMB fraction of entropy</t>
  </si>
  <si>
    <t xml:space="preserve">3-14% of total noise power</t>
  </si>
  <si>
    <t xml:space="preserve">0% (cosmic ray, not CMB)</t>
  </si>
  <si>
    <t xml:space="preserve">0% (dark current)</t>
  </si>
  <si>
    <t xml:space="preserve">0% (nuclear decay)</t>
  </si>
  <si>
    <t xml:space="preserve">0% (particle timing)</t>
  </si>
  <si>
    <t xml:space="preserve">0%</t>
  </si>
  <si>
    <t xml:space="preserve">Adversary observability</t>
  </si>
  <si>
    <t xml:space="preserve">CMB spectrum public; detector noise private</t>
  </si>
  <si>
    <t xml:space="preserve">Spatiotemporally unique; unobservable</t>
  </si>
  <si>
    <t xml:space="preserve">Device-specific; unobservable</t>
  </si>
  <si>
    <t xml:space="preserve">Unobservable</t>
  </si>
  <si>
    <t xml:space="preserve">Spatiotemporally unique</t>
  </si>
  <si>
    <t xml:space="preserve">Potentially backdoored (RDRAND concerns)</t>
  </si>
  <si>
    <t xml:space="preserve">Certifiable quantum</t>
  </si>
  <si>
    <t xml:space="preserve">Practical for standalone crypto</t>
  </si>
  <si>
    <t xml:space="preserve">Yes (with conditioning)</t>
  </si>
  <si>
    <t xml:space="preserve">No (seed injection only)</t>
  </si>
  <si>
    <t xml:space="preserve">Yes</t>
  </si>
  <si>
    <t xml:space="preserve">Marginal (low rate)</t>
  </si>
  <si>
    <t xml:space="preserve">Open source implementations</t>
  </si>
  <si>
    <t xml:space="preserve">Chapman 2016; GNU Radio pipelines</t>
  </si>
  <si>
    <t xml:space="preserve">CREDO app (MIT); no standalone RNG app</t>
  </si>
  <si>
    <t xml:space="preserve">Published methodology</t>
  </si>
  <si>
    <t xml:space="preserve">Fourmilab HotBits (retired)</t>
  </si>
  <si>
    <t xml:space="preserve">Published paper</t>
  </si>
  <si>
    <t xml:space="preserve">Intel firmware (closed)</t>
  </si>
  <si>
    <t xml:space="preserve">Proprietary</t>
  </si>
  <si>
    <t xml:space="preserve">Key Sources</t>
  </si>
  <si>
    <t xml:space="preserve">Lee &amp; Cleaver (2017) - CMB as RBG</t>
  </si>
  <si>
    <t xml:space="preserve">Kutschera et al. (2023) - MRNG</t>
  </si>
  <si>
    <t xml:space="preserve">Chapman et al. (2016) - Celestial RNG</t>
  </si>
  <si>
    <t xml:space="preserve">Gamil et al. (2020) - Muon-Ra</t>
  </si>
  <si>
    <t xml:space="preserve">Sanguinetti et al. (2014) - Camera QRNG</t>
  </si>
  <si>
    <t xml:space="preserve">CMB-Based RNG: Hardware Build Tiers</t>
  </si>
  <si>
    <t xml:space="preserve">Receiver sensitivity, antenna options, and cost breakdowns</t>
  </si>
  <si>
    <t xml:space="preserve">Component</t>
  </si>
  <si>
    <t xml:space="preserve">Product</t>
  </si>
  <si>
    <t xml:space="preserve">Freq. Range</t>
  </si>
  <si>
    <t xml:space="preserve">Noise Figure (dB)</t>
  </si>
  <si>
    <t xml:space="preserve">Noise Temp (K)</t>
  </si>
  <si>
    <t xml:space="preserve">Gain (dB)</t>
  </si>
  <si>
    <t xml:space="preserve">CMB Fraction (%)</t>
  </si>
  <si>
    <t xml:space="preserve">Cost (USD)</t>
  </si>
  <si>
    <t xml:space="preserve">Notes</t>
  </si>
  <si>
    <t xml:space="preserve">LNB (Ku-band)</t>
  </si>
  <si>
    <t xml:space="preserve">Bullseye BE01 TCXO</t>
  </si>
  <si>
    <t xml:space="preserve">10.5-12.75 GHz</t>
  </si>
  <si>
    <t xml:space="preserve">50-66</t>
  </si>
  <si>
    <t xml:space="preserve">~5.0%</t>
  </si>
  <si>
    <t xml:space="preserve">$25-30</t>
  </si>
  <si>
    <t xml:space="preserve">Best value; ±10 kHz LO stability</t>
  </si>
  <si>
    <t xml:space="preserve">Generic universal</t>
  </si>
  <si>
    <t xml:space="preserve">10.7-12.75 GHz</t>
  </si>
  <si>
    <t xml:space="preserve">0.5-1.0</t>
  </si>
  <si>
    <t xml:space="preserve">35-75</t>
  </si>
  <si>
    <t xml:space="preserve">50-65</t>
  </si>
  <si>
    <t xml:space="preserve">$5-15</t>
  </si>
  <si>
    <t xml:space="preserve">Real NF often 0.5-1.0 dB despite claims</t>
  </si>
  <si>
    <t xml:space="preserve">Norsat 1007B (pro)</t>
  </si>
  <si>
    <t xml:space="preserve">65</t>
  </si>
  <si>
    <t xml:space="preserve">$200-400</t>
  </si>
  <si>
    <t xml:space="preserve">OCXO LO; professional grade</t>
  </si>
  <si>
    <t xml:space="preserve">LNB (C-band)</t>
  </si>
  <si>
    <t xml:space="preserve">Norsat 8225R</t>
  </si>
  <si>
    <t xml:space="preserve">3.4-4.2 GHz</t>
  </si>
  <si>
    <t xml:space="preserve">~0.3</t>
  </si>
  <si>
    <t xml:space="preserve">62</t>
  </si>
  <si>
    <t xml:space="preserve">~12.1%</t>
  </si>
  <si>
    <t xml:space="preserve">$125-220</t>
  </si>
  <si>
    <t xml:space="preserve">Best affordable; 25K noise temp</t>
  </si>
  <si>
    <t xml:space="preserve">Generic C-band</t>
  </si>
  <si>
    <t xml:space="preserve">~0.5</t>
  </si>
  <si>
    <t xml:space="preserve">15-30</t>
  </si>
  <si>
    <t xml:space="preserve">55-65</t>
  </si>
  <si>
    <t xml:space="preserve">$10-40</t>
  </si>
  <si>
    <t xml:space="preserve">Surplus TVRO; variable quality</t>
  </si>
  <si>
    <t xml:space="preserve">SDR Backend</t>
  </si>
  <si>
    <t xml:space="preserve">RTL-SDR Blog V4</t>
  </si>
  <si>
    <t xml:space="preserve">24-1766 MHz</t>
  </si>
  <si>
    <t xml:space="preserve">3.0</t>
  </si>
  <si>
    <t xml:space="preserve">~580</t>
  </si>
  <si>
    <t xml:space="preserve">N/A</t>
  </si>
  <si>
    <t xml:space="preserve">$40-50</t>
  </si>
  <si>
    <t xml:space="preserve">IF digitizer; NF irrelevant after LNB</t>
  </si>
  <si>
    <t xml:space="preserve">Airspy R2</t>
  </si>
  <si>
    <t xml:space="preserve">24-1800 MHz</t>
  </si>
  <si>
    <t xml:space="preserve">3.5</t>
  </si>
  <si>
    <t xml:space="preserve">~627</t>
  </si>
  <si>
    <t xml:space="preserve">$170</t>
  </si>
  <si>
    <t xml:space="preserve">12-bit ADC; better dynamic range</t>
  </si>
  <si>
    <t xml:space="preserve">HackRF One</t>
  </si>
  <si>
    <t xml:space="preserve">1 MHz-6 GHz</t>
  </si>
  <si>
    <t xml:space="preserve">8-15</t>
  </si>
  <si>
    <t xml:space="preserve">2600+</t>
  </si>
  <si>
    <t xml:space="preserve">$340-370</t>
  </si>
  <si>
    <t xml:space="preserve">High NF; needs external LNB</t>
  </si>
  <si>
    <t xml:space="preserve">KrakenSDR (5-ch)</t>
  </si>
  <si>
    <t xml:space="preserve">~3.0</t>
  </si>
  <si>
    <t xml:space="preserve">$499</t>
  </si>
  <si>
    <t xml:space="preserve">Correlation radiometry possible</t>
  </si>
  <si>
    <t xml:space="preserve">LNA (1.42 GHz)</t>
  </si>
  <si>
    <t xml:space="preserve">Nooelec SAWbird+ H1</t>
  </si>
  <si>
    <t xml:space="preserve">1.42 GHz (65 MHz BW)</t>
  </si>
  <si>
    <t xml:space="preserve">40</t>
  </si>
  <si>
    <t xml:space="preserve">$45</t>
  </si>
  <si>
    <t xml:space="preserve">H-line only; not broadband CMB</t>
  </si>
  <si>
    <t xml:space="preserve">Cryogenic HEMT</t>
  </si>
  <si>
    <t xml:space="preserve">Research-grade</t>
  </si>
  <si>
    <t xml:space="preserve">1-30 GHz</t>
  </si>
  <si>
    <t xml:space="preserve">~0.1</t>
  </si>
  <si>
    <t xml:space="preserve">~20</t>
  </si>
  <si>
    <t xml:space="preserve">25-35</t>
  </si>
  <si>
    <t xml:space="preserve">$5K-50K</t>
  </si>
  <si>
    <t xml:space="preserve">Impractical for amateurs</t>
  </si>
  <si>
    <t xml:space="preserve">Build Tiers</t>
  </si>
  <si>
    <t xml:space="preserve">Tier</t>
  </si>
  <si>
    <t xml:space="preserve">Budget</t>
  </si>
  <si>
    <t xml:space="preserve">Components</t>
  </si>
  <si>
    <t xml:space="preserve">T_sys (K)</t>
  </si>
  <si>
    <t xml:space="preserve">CMB Fraction</t>
  </si>
  <si>
    <t xml:space="preserve">Entropy Rate (est.)</t>
  </si>
  <si>
    <t xml:space="preserve">CMB Measurement Accuracy</t>
  </si>
  <si>
    <t xml:space="preserve">Capability</t>
  </si>
  <si>
    <t xml:space="preserve">Tier 1: Entry</t>
  </si>
  <si>
    <t xml:space="preserve">$65-125</t>
  </si>
  <si>
    <t xml:space="preserve">18" dish + generic LNB + RTL-SDR V3</t>
  </si>
  <si>
    <t xml:space="preserve">~80</t>
  </si>
  <si>
    <t xml:space="preserve">~3.4%</t>
  </si>
  <si>
    <t xml:space="preserve">~100-500 kbit/s (after conditioning)</t>
  </si>
  <si>
    <t xml:space="preserve">N/A (no calibration)</t>
  </si>
  <si>
    <t xml:space="preserve">Sun/Moon detection; raw entropy stream</t>
  </si>
  <si>
    <t xml:space="preserve">Tier 2: Amateur CMB</t>
  </si>
  <si>
    <t xml:space="preserve">$200-370</t>
  </si>
  <si>
    <t xml:space="preserve">60-90cm dish + Bullseye LNB + RTL-SDR V4 + cold load</t>
  </si>
  <si>
    <t xml:space="preserve">~55</t>
  </si>
  <si>
    <t xml:space="preserve">~5%</t>
  </si>
  <si>
    <t xml:space="preserve">~1-10 Mbit/s</t>
  </si>
  <si>
    <t xml:space="preserve">±1-3 K</t>
  </si>
  <si>
    <t xml:space="preserve">Sky-dip CMB measurement + entropy</t>
  </si>
  <si>
    <t xml:space="preserve">Tier 3: Serious</t>
  </si>
  <si>
    <t xml:space="preserve">$800-2000</t>
  </si>
  <si>
    <t xml:space="preserve">1.2m dish + Norsat C-band + Dicke switch + Airspy R2</t>
  </si>
  <si>
    <t xml:space="preserve">~30</t>
  </si>
  <si>
    <t xml:space="preserve">~9%</t>
  </si>
  <si>
    <t xml:space="preserve">~10-80 Mbit/s</t>
  </si>
  <si>
    <t xml:space="preserve">±0.3-1 K</t>
  </si>
  <si>
    <t xml:space="preserve">Dicke radiometry; validated CMB detection</t>
  </si>
  <si>
    <t xml:space="preserve">Tier 4: Academic</t>
  </si>
  <si>
    <t xml:space="preserve">$1K-5K</t>
  </si>
  <si>
    <t xml:space="preserve">Potter horn 19 GHz + custom LNB + HP power meter</t>
  </si>
  <si>
    <t xml:space="preserve">~60</t>
  </si>
  <si>
    <t xml:space="preserve">±0.3-0.5 K</t>
  </si>
  <si>
    <t xml:space="preserve">UC Davis-class lab; publishable results</t>
  </si>
  <si>
    <t xml:space="preserve">Antenna Options</t>
  </si>
  <si>
    <t xml:space="preserve">Type</t>
  </si>
  <si>
    <t xml:space="preserve">Frequency</t>
  </si>
  <si>
    <t xml:space="preserve">Gain (dBi)</t>
  </si>
  <si>
    <t xml:space="preserve">Sidelobe Performance</t>
  </si>
  <si>
    <t xml:space="preserve">Best For</t>
  </si>
  <si>
    <t xml:space="preserve">18" DirecTV offset dish</t>
  </si>
  <si>
    <t xml:space="preserve">Ku-band (12 GHz)</t>
  </si>
  <si>
    <t xml:space="preserve">~28</t>
  </si>
  <si>
    <t xml:space="preserve">Moderate (offset helps)</t>
  </si>
  <si>
    <t xml:space="preserve">Budget entry point</t>
  </si>
  <si>
    <t xml:space="preserve">60-90cm Ku offset dish</t>
  </si>
  <si>
    <t xml:space="preserve">31-35</t>
  </si>
  <si>
    <t xml:space="preserve">$20-80</t>
  </si>
  <si>
    <t xml:space="preserve">Good (offset feed)</t>
  </si>
  <si>
    <t xml:space="preserve">Best value for CMB amateur</t>
  </si>
  <si>
    <t xml:space="preserve">1.8-3.0m C-band prime focus</t>
  </si>
  <si>
    <t xml:space="preserve">C-band (4 GHz)</t>
  </si>
  <si>
    <t xml:space="preserve">38-44</t>
  </si>
  <si>
    <t xml:space="preserve">$100-500</t>
  </si>
  <si>
    <t xml:space="preserve">Poor (prime focus spillover)</t>
  </si>
  <si>
    <t xml:space="preserve">Better sensitivity; needs C-band LNB</t>
  </si>
  <si>
    <t xml:space="preserve">DIY pyramidal horn (aluminum)</t>
  </si>
  <si>
    <t xml:space="preserve">1-4 GHz</t>
  </si>
  <si>
    <t xml:space="preserve">15-20</t>
  </si>
  <si>
    <t xml:space="preserve">Excellent (&lt; -20 dB)</t>
  </si>
  <si>
    <t xml:space="preserve">Low-frequency; Harvard CFA design</t>
  </si>
  <si>
    <t xml:space="preserve">Potter horn (corrugated)</t>
  </si>
  <si>
    <t xml:space="preserve">10-30 GHz</t>
  </si>
  <si>
    <t xml:space="preserve">20-25</t>
  </si>
  <si>
    <t xml:space="preserve">$500-2000</t>
  </si>
  <si>
    <t xml:space="preserve">Ultra-low (&lt; -30 dB)</t>
  </si>
  <si>
    <t xml:space="preserve">UC Davis 19 GHz CMB lab standard</t>
  </si>
  <si>
    <t xml:space="preserve">3D-printed corrugated horn</t>
  </si>
  <si>
    <t xml:space="preserve">Ka-band (28 GHz)</t>
  </si>
  <si>
    <t xml:space="preserve">$100-300</t>
  </si>
  <si>
    <t xml:space="preserve">Good</t>
  </si>
  <si>
    <t xml:space="preserve">Experimental; PMC Sci. Reports 2023</t>
  </si>
  <si>
    <t xml:space="preserve">WiFi parabolic grid dish</t>
  </si>
  <si>
    <t xml:space="preserve">2.4 GHz</t>
  </si>
  <si>
    <t xml:space="preserve">18-22</t>
  </si>
  <si>
    <t xml:space="preserve">$30-60</t>
  </si>
  <si>
    <t xml:space="preserve">Moderate</t>
  </si>
  <si>
    <t xml:space="preserve">H-line work; repurposable for CMB</t>
  </si>
  <si>
    <t xml:space="preserve">Entropy Rates &amp; Signal Processing Pipelines</t>
  </si>
  <si>
    <t xml:space="preserve">Comparison of achievable throughput across all approaches</t>
  </si>
  <si>
    <t xml:space="preserve">RNG Approach</t>
  </si>
  <si>
    <t xml:space="preserve">Raw Sample Rate</t>
  </si>
  <si>
    <t xml:space="preserve">Effective Bits/Sample</t>
  </si>
  <si>
    <t xml:space="preserve">Raw Entropy (bit/s)</t>
  </si>
  <si>
    <t xml:space="preserve">After Von Neumann</t>
  </si>
  <si>
    <t xml:space="preserve">After SHA-256/SHA-3</t>
  </si>
  <si>
    <t xml:space="preserve">Practical Output</t>
  </si>
  <si>
    <t xml:space="preserve">CMB Contribution</t>
  </si>
  <si>
    <t xml:space="preserve">Reference</t>
  </si>
  <si>
    <t xml:space="preserve">CMB: RTL-SDR + Ku LNB</t>
  </si>
  <si>
    <t xml:space="preserve">2.4 Msps (8-bit IQ)</t>
  </si>
  <si>
    <t xml:space="preserve">~5-6</t>
  </si>
  <si>
    <t xml:space="preserve">14.4 Mbit/s</t>
  </si>
  <si>
    <t xml:space="preserve">~6.9 Mbit/s</t>
  </si>
  <si>
    <t xml:space="preserve">~1-5 Mbit/s</t>
  </si>
  <si>
    <t xml:space="preserve">~3-5% of noise power</t>
  </si>
  <si>
    <t xml:space="preserve">Chapman 2016; hardware specs</t>
  </si>
  <si>
    <t xml:space="preserve">CMB: Airspy R2 + LNB</t>
  </si>
  <si>
    <t xml:space="preserve">10 Msps (12-bit)</t>
  </si>
  <si>
    <t xml:space="preserve">~8</t>
  </si>
  <si>
    <t xml:space="preserve">80 Mbit/s</t>
  </si>
  <si>
    <t xml:space="preserve">~40 Mbit/s</t>
  </si>
  <si>
    <t xml:space="preserve">~80 Mbit/s</t>
  </si>
  <si>
    <t xml:space="preserve">~10-40 Mbit/s</t>
  </si>
  <si>
    <t xml:space="preserve">~3-5%</t>
  </si>
  <si>
    <t xml:space="preserve">Hardware specs</t>
  </si>
  <si>
    <t xml:space="preserve">CMB: HackRF + LNB</t>
  </si>
  <si>
    <t xml:space="preserve">20 Msps (8-bit)</t>
  </si>
  <si>
    <t xml:space="preserve">~5</t>
  </si>
  <si>
    <t xml:space="preserve">100 Mbit/s</t>
  </si>
  <si>
    <t xml:space="preserve">~47 Mbit/s</t>
  </si>
  <si>
    <t xml:space="preserve">CPU-limited</t>
  </si>
  <si>
    <t xml:space="preserve">~10-50 Mbit/s</t>
  </si>
  <si>
    <t xml:space="preserve">CMB: USRP B210</t>
  </si>
  <si>
    <t xml:space="preserve">56 Msps (12-bit)</t>
  </si>
  <si>
    <t xml:space="preserve">~9</t>
  </si>
  <si>
    <t xml:space="preserve">504 Mbit/s</t>
  </si>
  <si>
    <t xml:space="preserve">~250 Mbit/s</t>
  </si>
  <si>
    <t xml:space="preserve">~500 Mbit/s</t>
  </si>
  <si>
    <t xml:space="preserve">~100-500 Mbit/s</t>
  </si>
  <si>
    <t xml:space="preserve">CMB: Chapman telescope</t>
  </si>
  <si>
    <t xml:space="preserve">RTL-SDR backend</t>
  </si>
  <si>
    <t xml:space="preserve">~400 MB/min</t>
  </si>
  <si>
    <t xml:space="preserve">N/A (direct SHA-256)</t>
  </si>
  <si>
    <t xml:space="preserve">98.9% NIST pass</t>
  </si>
  <si>
    <t xml:space="preserve">~400 MB/min (~53 Mbit/s)</t>
  </si>
  <si>
    <t xml:space="preserve">Included (6.5-6.8 GHz)</t>
  </si>
  <si>
    <t xml:space="preserve">Chapman et al. 2016</t>
  </si>
  <si>
    <t xml:space="preserve">Cosmic Ray MRNG (1 phone)</t>
  </si>
  <si>
    <t xml:space="preserve">~1 event/62.8 min</t>
  </si>
  <si>
    <t xml:space="preserve">~0.029 bits/event</t>
  </si>
  <si>
    <t xml:space="preserve">~0.028 bits/hr</t>
  </si>
  <si>
    <t xml:space="preserve">0% (muon origin)</t>
  </si>
  <si>
    <t xml:space="preserve">Kutschera 2023</t>
  </si>
  <si>
    <t xml:space="preserve">Cosmic Ray MRNG (8 phones)</t>
  </si>
  <si>
    <t xml:space="preserve">~414 events/18 days</t>
  </si>
  <si>
    <t xml:space="preserve">~0.22 bits/hr</t>
  </si>
  <si>
    <t xml:space="preserve">Full sensor readout</t>
  </si>
  <si>
    <t xml:space="preserve">~3 bits/pixel</t>
  </si>
  <si>
    <t xml:space="preserve">N/A (hash extraction)</t>
  </si>
  <si>
    <t xml:space="preserve">Included</t>
  </si>
  <si>
    <t xml:space="preserve">Park 2015</t>
  </si>
  <si>
    <t xml:space="preserve">Geiger Tube TRNG (Thorium)</t>
  </si>
  <si>
    <t xml:space="preserve">~11 events/s</t>
  </si>
  <si>
    <t xml:space="preserve">1 bit/event</t>
  </si>
  <si>
    <t xml:space="preserve">~11 bit/s</t>
  </si>
  <si>
    <t xml:space="preserve">~5.5 bit/s</t>
  </si>
  <si>
    <t xml:space="preserve">Ruschen 2017</t>
  </si>
  <si>
    <t xml:space="preserve">HotBits (retired)</t>
  </si>
  <si>
    <t xml:space="preserve">~100 events/s</t>
  </si>
  <si>
    <t xml:space="preserve">8 bits/event</t>
  </si>
  <si>
    <t xml:space="preserve">~800 bit/s</t>
  </si>
  <si>
    <t xml:space="preserve">~400 bit/s (VN)</t>
  </si>
  <si>
    <t xml:space="preserve">Fourmilab</t>
  </si>
  <si>
    <t xml:space="preserve">Muon-Ra (SiPM+scint.)</t>
  </si>
  <si>
    <t xml:space="preserve">~25 muons/min (25cm²)</t>
  </si>
  <si>
    <t xml:space="preserve">~4-10 bits/event</t>
  </si>
  <si>
    <t xml:space="preserve">~100-250 bit/min</t>
  </si>
  <si>
    <t xml:space="preserve">Applied</t>
  </si>
  <si>
    <t xml:space="preserve">Gamil 2020</t>
  </si>
  <si>
    <t xml:space="preserve">Hardware clock</t>
  </si>
  <si>
    <t xml:space="preserve">Full entropy per call</t>
  </si>
  <si>
    <t xml:space="preserve">Intel spec</t>
  </si>
  <si>
    <t xml:space="preserve">Infinite Noise TRNG (USB)</t>
  </si>
  <si>
    <t xml:space="preserve">300 kbit/s raw</t>
  </si>
  <si>
    <t xml:space="preserve">0.86 bits/bit min-entropy</t>
  </si>
  <si>
    <t xml:space="preserve">258 kbit/s</t>
  </si>
  <si>
    <t xml:space="preserve">~300 kbit/s raw</t>
  </si>
  <si>
    <t xml:space="preserve">0% (resistor thermal)</t>
  </si>
  <si>
    <t xml:space="preserve">GitHub: infnoise</t>
  </si>
  <si>
    <t xml:space="preserve">Entropy Extraction Methods</t>
  </si>
  <si>
    <t xml:space="preserve">Method</t>
  </si>
  <si>
    <t xml:space="preserve">Crypto-Secure?</t>
  </si>
  <si>
    <t xml:space="preserve">Efficiency</t>
  </si>
  <si>
    <t xml:space="preserve">Output Quality</t>
  </si>
  <si>
    <t xml:space="preserve">Python Library</t>
  </si>
  <si>
    <t xml:space="preserve">Von Neumann debiasing</t>
  </si>
  <si>
    <t xml:space="preserve">Deterministic (bit-pair)</t>
  </si>
  <si>
    <t xml:space="preserve">No (preprocessor)</t>
  </si>
  <si>
    <t xml:space="preserve">~48% at p=0.5</t>
  </si>
  <si>
    <t xml:space="preserve">Removes bias; preserves independence</t>
  </si>
  <si>
    <t xml:space="preserve">numpy (custom)</t>
  </si>
  <si>
    <t xml:space="preserve">First-stage whitening</t>
  </si>
  <si>
    <t xml:space="preserve">SHA-256 conditioning</t>
  </si>
  <si>
    <t xml:space="preserve">Cryptographic hash</t>
  </si>
  <si>
    <t xml:space="preserve">Yes (NIST SP 800-90B approved)</t>
  </si>
  <si>
    <t xml:space="preserve">64B in -&gt; 32B out (50%)</t>
  </si>
  <si>
    <t xml:space="preserve">Full entropy if input has min-entropy</t>
  </si>
  <si>
    <t xml:space="preserve">hashlib</t>
  </si>
  <si>
    <t xml:space="preserve">Standard conditioner for all TRNG</t>
  </si>
  <si>
    <t xml:space="preserve">SHA-3 (Keccak) conditioning</t>
  </si>
  <si>
    <t xml:space="preserve">Yes (NIST approved)</t>
  </si>
  <si>
    <t xml:space="preserve">Variable (sponge)</t>
  </si>
  <si>
    <t xml:space="preserve">Full entropy</t>
  </si>
  <si>
    <t xml:space="preserve">hashlib (sha3_256)</t>
  </si>
  <si>
    <t xml:space="preserve">Modern alternative; PQC-aligned</t>
  </si>
  <si>
    <t xml:space="preserve">Toeplitz hashing (FFT)</t>
  </si>
  <si>
    <t xml:space="preserve">Information-theoretic extractor</t>
  </si>
  <si>
    <t xml:space="preserve">Yes (provable security)</t>
  </si>
  <si>
    <t xml:space="preserve">Adjustable (m/n ratio)</t>
  </si>
  <si>
    <t xml:space="preserve">Provably secure for min-entropy sources</t>
  </si>
  <si>
    <t xml:space="preserve">numpy/scipy (custom)</t>
  </si>
  <si>
    <t xml:space="preserve">Highest assurance; needs seed matrix</t>
  </si>
  <si>
    <t xml:space="preserve">XOR folding</t>
  </si>
  <si>
    <t xml:space="preserve">Statistical</t>
  </si>
  <si>
    <t xml:space="preserve">No</t>
  </si>
  <si>
    <t xml:space="preserve">1/fold_factor</t>
  </si>
  <si>
    <t xml:space="preserve">Reduces bias; weaker than hash</t>
  </si>
  <si>
    <t xml:space="preserve">numpy</t>
  </si>
  <si>
    <t xml:space="preserve">Quick pre-processing</t>
  </si>
  <si>
    <t xml:space="preserve">LFSR whitening</t>
  </si>
  <si>
    <t xml:space="preserve">Pseudo-random scrambling</t>
  </si>
  <si>
    <t xml:space="preserve">No (not standalone)</t>
  </si>
  <si>
    <t xml:space="preserve">~100%</t>
  </si>
  <si>
    <t xml:space="preserve">Scrambles patterns; deterministic</t>
  </si>
  <si>
    <t xml:space="preserve">Custom</t>
  </si>
  <si>
    <t xml:space="preserve">Pre-whitening before hash</t>
  </si>
  <si>
    <t xml:space="preserve">AES-CBC-MAC conditioning</t>
  </si>
  <si>
    <t xml:space="preserve">Block cipher</t>
  </si>
  <si>
    <t xml:space="preserve">128-bit blocks</t>
  </si>
  <si>
    <t xml:space="preserve">PyCryptodome</t>
  </si>
  <si>
    <t xml:space="preserve">Hardware-accelerated on x86</t>
  </si>
  <si>
    <t xml:space="preserve">Statistical Validation Test Results</t>
  </si>
  <si>
    <t xml:space="preserve">NIST SP 800-22, Dieharder, TestU01, SP 800-90B, ent, PractRand</t>
  </si>
  <si>
    <t xml:space="preserve">RNG System</t>
  </si>
  <si>
    <t xml:space="preserve">Bit Volume Tested</t>
  </si>
  <si>
    <t xml:space="preserve">NIST 800-22 (15 tests)</t>
  </si>
  <si>
    <t xml:space="preserve">TestU01 (BigCrush)</t>
  </si>
  <si>
    <t xml:space="preserve">SP 800-90B Min-Entropy</t>
  </si>
  <si>
    <t xml:space="preserve">ent (entropy/byte)</t>
  </si>
  <si>
    <t xml:space="preserve">PractRand</t>
  </si>
  <si>
    <t xml:space="preserve">Overall Grade</t>
  </si>
  <si>
    <t xml:space="preserve">CMB: Chapman 2016 (SHA-256)</t>
  </si>
  <si>
    <t xml:space="preserve">~400 MB</t>
  </si>
  <si>
    <t xml:space="preserve">98.9% of 512 streams pass</t>
  </si>
  <si>
    <t xml:space="preserve">B+ (empirical but incomplete)</t>
  </si>
  <si>
    <t xml:space="preserve">CMB: Lee &amp; Cleaver 2017</t>
  </si>
  <si>
    <t xml:space="preserve">Theoretical only</t>
  </si>
  <si>
    <t xml:space="preserve">Not tested (theoretical FIPS claim)</t>
  </si>
  <si>
    <t xml:space="preserve">C (no empirical data)</t>
  </si>
  <si>
    <t xml:space="preserve">Cosmic Ray MRNG P124</t>
  </si>
  <si>
    <t xml:space="preserve">~12 bits (94x128)</t>
  </si>
  <si>
    <t xml:space="preserve">6/6 applicable tests pass</t>
  </si>
  <si>
    <t xml:space="preserve">B- (limited sample)</t>
  </si>
  <si>
    <t xml:space="preserve">Cosmic Ray MRNG RP124</t>
  </si>
  <si>
    <t xml:space="preserve">~126 bits</t>
  </si>
  <si>
    <t xml:space="preserve">Not disclosed</t>
  </si>
  <si>
    <t xml:space="preserve">Full 15/15 pass</t>
  </si>
  <si>
    <t xml:space="preserve">A- (two full suites)</t>
  </si>
  <si>
    <t xml:space="preserve">Camera Dark Noise (Park)</t>
  </si>
  <si>
    <t xml:space="preserve">Large (millions of bits)</t>
  </si>
  <si>
    <t xml:space="preserve">15/15 pass</t>
  </si>
  <si>
    <t xml:space="preserve">Assessed</t>
  </si>
  <si>
    <t xml:space="preserve">~7.99 bits/byte</t>
  </si>
  <si>
    <t xml:space="preserve">A (comprehensive)</t>
  </si>
  <si>
    <t xml:space="preserve">Geiger TRNG (Thorium)</t>
  </si>
  <si>
    <t xml:space="preserve">35M events</t>
  </si>
  <si>
    <t xml:space="preserve">Partial (runs, chi-sq, spectral)</t>
  </si>
  <si>
    <t xml:space="preserve">1 bit/bit (perfect)</t>
  </si>
  <si>
    <t xml:space="preserve">B (partial but clean)</t>
  </si>
  <si>
    <t xml:space="preserve">CAVP certified</t>
  </si>
  <si>
    <t xml:space="preserve">Full pass (CAVP cert.)</t>
  </si>
  <si>
    <t xml:space="preserve">Certified</t>
  </si>
  <si>
    <t xml:space="preserve">A+ (FIPS certified)</t>
  </si>
  <si>
    <t xml:space="preserve">Full pass</t>
  </si>
  <si>
    <t xml:space="preserve">~8.0 bits/byte</t>
  </si>
  <si>
    <t xml:space="preserve">A+ (quantum certified)</t>
  </si>
  <si>
    <t xml:space="preserve">Infinite Noise TRNG</t>
  </si>
  <si>
    <t xml:space="preserve">Large</t>
  </si>
  <si>
    <t xml:space="preserve">0.86 bits/symbol</t>
  </si>
  <si>
    <t xml:space="preserve">~6.88 bits/byte (raw)</t>
  </si>
  <si>
    <t xml:space="preserve">B+ (open hardware)</t>
  </si>
  <si>
    <t xml:space="preserve">Validation Test Suites Reference</t>
  </si>
  <si>
    <t xml:space="preserve">Test Suite</t>
  </si>
  <si>
    <t xml:space="preserve">Tests Count</t>
  </si>
  <si>
    <t xml:space="preserve">Min Data Required</t>
  </si>
  <si>
    <t xml:space="preserve">Pass Criteria</t>
  </si>
  <si>
    <t xml:space="preserve">Measures</t>
  </si>
  <si>
    <t xml:space="preserve">Run Command</t>
  </si>
  <si>
    <t xml:space="preserve">15 statistical tests</t>
  </si>
  <si>
    <t xml:space="preserve">1 Mbit minimum</t>
  </si>
  <si>
    <t xml:space="preserve">Proportion &gt;= 0.9805 at alpha=0.01</t>
  </si>
  <si>
    <t xml:space="preserve">Frequency, runs, serial, entropy, FFT, etc.</t>
  </si>
  <si>
    <t xml:space="preserve">assess -file data.bin</t>
  </si>
  <si>
    <t xml:space="preserve">NIST SP 800-90B</t>
  </si>
  <si>
    <t xml:space="preserve">10 entropy estimators</t>
  </si>
  <si>
    <t xml:space="preserve">1M+ samples</t>
  </si>
  <si>
    <t xml:space="preserve">Min-entropy &gt;= 0.75 bits/bit (after conditioning)</t>
  </si>
  <si>
    <t xml:space="preserve">IID vs non-IID; min-entropy estimation</t>
  </si>
  <si>
    <t xml:space="preserve">ea_iid -v data.bin 8</t>
  </si>
  <si>
    <t xml:space="preserve">~100+ tests</t>
  </si>
  <si>
    <t xml:space="preserve">~10 MB minimum</t>
  </si>
  <si>
    <t xml:space="preserve">PASS: 0.0005 &lt; p &lt; 0.9995</t>
  </si>
  <si>
    <t xml:space="preserve">Birthday spacings, rank, parking lot, etc.</t>
  </si>
  <si>
    <t xml:space="preserve">dieharder -a -g 201 -f data.bin</t>
  </si>
  <si>
    <t xml:space="preserve">TestU01 SmallCrush</t>
  </si>
  <si>
    <t xml:space="preserve">10 tests</t>
  </si>
  <si>
    <t xml:space="preserve">~46 MB</t>
  </si>
  <si>
    <t xml:space="preserve">No p-values outside [1e-10, 1-1e-10]</t>
  </si>
  <si>
    <t xml:space="preserve">Quick screening battery</t>
  </si>
  <si>
    <t xml:space="preserve">C API: bbattery_SmallCrush(gen)</t>
  </si>
  <si>
    <t xml:space="preserve">TestU01 Crush</t>
  </si>
  <si>
    <t xml:space="preserve">96 tests</t>
  </si>
  <si>
    <t xml:space="preserve">~10 GB</t>
  </si>
  <si>
    <t xml:space="preserve">Same as SmallCrush</t>
  </si>
  <si>
    <t xml:space="preserve">Medium-depth analysis</t>
  </si>
  <si>
    <t xml:space="preserve">C API: bbattery_Crush(gen)</t>
  </si>
  <si>
    <t xml:space="preserve">TestU01 BigCrush</t>
  </si>
  <si>
    <t xml:space="preserve">106 tests</t>
  </si>
  <si>
    <t xml:space="preserve">~240 GB</t>
  </si>
  <si>
    <t xml:space="preserve">Same</t>
  </si>
  <si>
    <t xml:space="preserve">Most rigorous public battery</t>
  </si>
  <si>
    <t xml:space="preserve">C API: bbattery_BigCrush(gen)</t>
  </si>
  <si>
    <t xml:space="preserve">ent (Fourmilab)</t>
  </si>
  <si>
    <t xml:space="preserve">5 metrics</t>
  </si>
  <si>
    <t xml:space="preserve">Any size</t>
  </si>
  <si>
    <t xml:space="preserve">Entropy &gt;7.9 bits/byte; chi-sq 10-90%</t>
  </si>
  <si>
    <t xml:space="preserve">Entropy, chi-sq, mean, Monte Carlo Pi, SCC</t>
  </si>
  <si>
    <t xml:space="preserve">ent data.bin</t>
  </si>
  <si>
    <t xml:space="preserve">Streaming tests</t>
  </si>
  <si>
    <t xml:space="preserve">1 KB to 32 TB</t>
  </si>
  <si>
    <t xml:space="preserve">FAIL if p &lt; 1e-14</t>
  </si>
  <si>
    <t xml:space="preserve">Extended pattern analysis</t>
  </si>
  <si>
    <t xml:space="preserve">RNG_test stdin &lt; data.bin</t>
  </si>
  <si>
    <t xml:space="preserve">Cost Comparison: All RNG Approaches</t>
  </si>
  <si>
    <t xml:space="preserve">Hardware, setup, and operational costs</t>
  </si>
  <si>
    <t xml:space="preserve">Approach</t>
  </si>
  <si>
    <t xml:space="preserve">Hardware Cost</t>
  </si>
  <si>
    <t xml:space="preserve">Recurring Cost</t>
  </si>
  <si>
    <t xml:space="preserve">Power Draw</t>
  </si>
  <si>
    <t xml:space="preserve">Entropy Rate</t>
  </si>
  <si>
    <t xml:space="preserve">Cost per Mbit/s</t>
  </si>
  <si>
    <t xml:space="preserve">Setup Complexity</t>
  </si>
  <si>
    <t xml:space="preserve">Time to First Bit</t>
  </si>
  <si>
    <t xml:space="preserve">CMB Tier 1 (dish+LNB+RTL-SDR)</t>
  </si>
  <si>
    <t xml:space="preserve">Electricity only</t>
  </si>
  <si>
    <t xml:space="preserve">~15W</t>
  </si>
  <si>
    <t xml:space="preserve">~1 Mbit/s</t>
  </si>
  <si>
    <t xml:space="preserve">$65-125/Mbit/s</t>
  </si>
  <si>
    <t xml:space="preserve">Low-Medium</t>
  </si>
  <si>
    <t xml:space="preserve">CMB Tier 2 (calibrated)</t>
  </si>
  <si>
    <t xml:space="preserve">LN2 refills (~$5/L)</t>
  </si>
  <si>
    <t xml:space="preserve">~20W</t>
  </si>
  <si>
    <t xml:space="preserve">~5 Mbit/s</t>
  </si>
  <si>
    <t xml:space="preserve">$40-74/Mbit/s</t>
  </si>
  <si>
    <t xml:space="preserve">Medium</t>
  </si>
  <si>
    <t xml:space="preserve">Hours (calibration)</t>
  </si>
  <si>
    <t xml:space="preserve">CMB Tier 3 (Dicke + C-band)</t>
  </si>
  <si>
    <t xml:space="preserve">LN2 + maintenance</t>
  </si>
  <si>
    <t xml:space="preserve">~30W</t>
  </si>
  <si>
    <t xml:space="preserve">$20-50/Mbit/s</t>
  </si>
  <si>
    <t xml:space="preserve">High</t>
  </si>
  <si>
    <t xml:space="preserve">Hours</t>
  </si>
  <si>
    <t xml:space="preserve">CMB Tier 4 (academic)</t>
  </si>
  <si>
    <t xml:space="preserve">$1000-5000</t>
  </si>
  <si>
    <t xml:space="preserve">LN2 + lab consumables</t>
  </si>
  <si>
    <t xml:space="preserve">~50W</t>
  </si>
  <si>
    <t xml:space="preserve">$200-1000/Mbit/s</t>
  </si>
  <si>
    <t xml:space="preserve">Very High</t>
  </si>
  <si>
    <t xml:space="preserve">Days (setup)</t>
  </si>
  <si>
    <t xml:space="preserve">$0</t>
  </si>
  <si>
    <t xml:space="preserve">Battery charging</t>
  </si>
  <si>
    <t xml:space="preserve">~5W</t>
  </si>
  <si>
    <t xml:space="preserve">~0.028 bit/hr</t>
  </si>
  <si>
    <t xml:space="preserve">N/A (impractical)</t>
  </si>
  <si>
    <t xml:space="preserve">Very Low</t>
  </si>
  <si>
    <t xml:space="preserve">Hours-Days</t>
  </si>
  <si>
    <t xml:space="preserve">~40W</t>
  </si>
  <si>
    <t xml:space="preserve">~0.22 bit/hr</t>
  </si>
  <si>
    <t xml:space="preserve">Low</t>
  </si>
  <si>
    <t xml:space="preserve">$0 (+LED)</t>
  </si>
  <si>
    <t xml:space="preserve">None</t>
  </si>
  <si>
    <t xml:space="preserve">~3W</t>
  </si>
  <si>
    <t xml:space="preserve">Tube replacement (years)</t>
  </si>
  <si>
    <t xml:space="preserve">$4.5K-18K/Mbit/s</t>
  </si>
  <si>
    <t xml:space="preserve">~1W</t>
  </si>
  <si>
    <t xml:space="preserve">$48K-120K/Mbit/s</t>
  </si>
  <si>
    <t xml:space="preserve">Intel RDSEED (CPU)</t>
  </si>
  <si>
    <t xml:space="preserve">In CPU TDP</t>
  </si>
  <si>
    <t xml:space="preserve">ID Quantique QRNG</t>
  </si>
  <si>
    <t xml:space="preserve">$1K-10K</t>
  </si>
  <si>
    <t xml:space="preserve">Calibration</t>
  </si>
  <si>
    <t xml:space="preserve">~10W</t>
  </si>
  <si>
    <t xml:space="preserve">$1-10/Gbit/s</t>
  </si>
  <si>
    <t xml:space="preserve">$35</t>
  </si>
  <si>
    <t xml:space="preserve">~0.5W</t>
  </si>
  <si>
    <t xml:space="preserve">~300 kbit/s</t>
  </si>
  <si>
    <t xml:space="preserve">$0.12/kbit/s</t>
  </si>
  <si>
    <t xml:space="preserve">OneRNG (USB)</t>
  </si>
  <si>
    <t xml:space="preserve">~350 kbit/s</t>
  </si>
  <si>
    <t xml:space="preserve">$0.14/kbit/s</t>
  </si>
  <si>
    <t xml:space="preserve">Cryptography Library Integration Paths</t>
  </si>
  <si>
    <t xml:space="preserve">How each entropy source feeds into PQC and classical crypto</t>
  </si>
  <si>
    <t xml:space="preserve">Integration Point</t>
  </si>
  <si>
    <t xml:space="preserve">Python API</t>
  </si>
  <si>
    <t xml:space="preserve">Entropy Source Compatibility</t>
  </si>
  <si>
    <t xml:space="preserve">Linux /dev/random pool</t>
  </si>
  <si>
    <t xml:space="preserve">rngd daemon or RNDADDENTROPY ioctl</t>
  </si>
  <si>
    <t xml:space="preserve">fcntl.ioctl(fd, 0x40085203, pool)</t>
  </si>
  <si>
    <t xml:space="preserve">All hardware sources</t>
  </si>
  <si>
    <t xml:space="preserve">Preferred method; feeds all crypto libs via os.urandom()</t>
  </si>
  <si>
    <t xml:space="preserve">os.urandom() monkey-patch</t>
  </si>
  <si>
    <t xml:space="preserve">XOR hardware bytes with OS bytes</t>
  </si>
  <si>
    <t xml:space="preserve">os.urandom = make_hardware_augmented(hw_fn)</t>
  </si>
  <si>
    <t xml:space="preserve">All sources with sufficient throughput</t>
  </si>
  <si>
    <t xml:space="preserve">XOR preserves max(H_src1, H_src2); simple but not FIPS-approved</t>
  </si>
  <si>
    <t xml:space="preserve">OpenSSL RAND_add()</t>
  </si>
  <si>
    <t xml:space="preserve">Inject entropy into OpenSSL pool</t>
  </si>
  <si>
    <t xml:space="preserve">ctypes: ssl.RAND_add(buf, len, entropy_est)</t>
  </si>
  <si>
    <t xml:space="preserve">All sources</t>
  </si>
  <si>
    <t xml:space="preserve">Feeds OpenSSL backend used by pyca/cryptography</t>
  </si>
  <si>
    <t xml:space="preserve">liboqs custom RNG callback</t>
  </si>
  <si>
    <t xml:space="preserve">OQS_randombytes_custom_algorithm()</t>
  </si>
  <si>
    <t xml:space="preserve">Via C FFI or pre-seed os.urandom</t>
  </si>
  <si>
    <t xml:space="preserve">Continuous stream sources (CMB, dark noise)</t>
  </si>
  <si>
    <t xml:space="preserve">Directly feeds ML-KEM / ML-DSA key generation</t>
  </si>
  <si>
    <t xml:space="preserve">CRYSTALS-Kyber randombytes()</t>
  </si>
  <si>
    <t xml:space="preserve">Override at link time</t>
  </si>
  <si>
    <t xml:space="preserve">C: void randombytes(uint8_t*, size_t)</t>
  </si>
  <si>
    <t xml:space="preserve">Continuous stream sources</t>
  </si>
  <si>
    <t xml:space="preserve">For standalone pq-crystals implementations</t>
  </si>
  <si>
    <t xml:space="preserve">HMAC_DRBG (SP 800-90A)</t>
  </si>
  <si>
    <t xml:space="preserve">Seed with hardware entropy</t>
  </si>
  <si>
    <t xml:space="preserve">Custom class: HMAC_DRBG(entropy, nonce)</t>
  </si>
  <si>
    <t xml:space="preserve">All sources (one-time seed OK)</t>
  </si>
  <si>
    <t xml:space="preserve">NIST-approved; 256-bit security strength</t>
  </si>
  <si>
    <t xml:space="preserve">CTR_DRBG (SP 800-90A)</t>
  </si>
  <si>
    <t xml:space="preserve">AES-256 counter mode DRBG</t>
  </si>
  <si>
    <t xml:space="preserve">Custom or PyCryptodome AES-CTR</t>
  </si>
  <si>
    <t xml:space="preserve">Fastest DRBG; used by Intel RDRAND internally</t>
  </si>
  <si>
    <t xml:space="preserve">HAVEGE (jitter entropy)</t>
  </si>
  <si>
    <t xml:space="preserve">Process timing jitter as entropy</t>
  </si>
  <si>
    <t xml:space="preserve">systemctl start haveged</t>
  </si>
  <si>
    <t xml:space="preserve">Supplementary; no hardware needed</t>
  </si>
  <si>
    <t xml:space="preserve">Built into Linux &gt;= 5.4; adds diversity to pool</t>
  </si>
  <si>
    <t xml:space="preserve">PQC Algorithm Compatibility</t>
  </si>
  <si>
    <t xml:space="preserve">PQC Algorithm</t>
  </si>
  <si>
    <t xml:space="preserve">Randomness Needed (keygen)</t>
  </si>
  <si>
    <t xml:space="preserve">Min Entropy Required</t>
  </si>
  <si>
    <t xml:space="preserve">CMB RNG Compatible?</t>
  </si>
  <si>
    <t xml:space="preserve">Cosmic Ray MRNG Compatible?</t>
  </si>
  <si>
    <t xml:space="preserve">ML-KEM-768 (Kyber)</t>
  </si>
  <si>
    <t xml:space="preserve">32 bytes seed + 32 bytes coins</t>
  </si>
  <si>
    <t xml:space="preserve">256 bits</t>
  </si>
  <si>
    <t xml:space="preserve">Yes (continuous stream)</t>
  </si>
  <si>
    <t xml:space="preserve">No (too slow for real-time; seed-only)</t>
  </si>
  <si>
    <t xml:space="preserve">ML-DSA-65 (Dilithium)</t>
  </si>
  <si>
    <t xml:space="preserve">32 bytes seed</t>
  </si>
  <si>
    <t xml:space="preserve">No (seed-only)</t>
  </si>
  <si>
    <t xml:space="preserve">SPHINCS+ (SLH-DSA)</t>
  </si>
  <si>
    <t xml:space="preserve">3x 32 bytes</t>
  </si>
  <si>
    <t xml:space="preserve">768 bits total</t>
  </si>
  <si>
    <t xml:space="preserve">No (too slow)</t>
  </si>
  <si>
    <t xml:space="preserve">BIKE / HQC</t>
  </si>
  <si>
    <t xml:space="preserve">Varies (large key material)</t>
  </si>
  <si>
    <t xml:space="preserve">&gt;256 bits</t>
  </si>
  <si>
    <t xml:space="preserve">Classic McEliece</t>
  </si>
  <si>
    <t xml:space="preserve">Large key generation</t>
  </si>
  <si>
    <t xml:space="preserve">&gt;&gt;256 bits</t>
  </si>
  <si>
    <t xml:space="preserve">No (impractical latency)</t>
  </si>
  <si>
    <t xml:space="preserve">Cosmic Ray MRNG: Detailed Analysis</t>
  </si>
  <si>
    <t xml:space="preserve">Kutschera et al. 2023 | Apps, detection rates, validation</t>
  </si>
  <si>
    <t xml:space="preserve">App / System</t>
  </si>
  <si>
    <t xml:space="preserve">Platform</t>
  </si>
  <si>
    <t xml:space="preserve">Institution</t>
  </si>
  <si>
    <t xml:space="preserve">RNG-Focused?</t>
  </si>
  <si>
    <t xml:space="preserve">Detection Rate (ground)</t>
  </si>
  <si>
    <t xml:space="preserve">Open Source?</t>
  </si>
  <si>
    <t xml:space="preserve">Status</t>
  </si>
  <si>
    <t xml:space="preserve">DECO</t>
  </si>
  <si>
    <t xml:space="preserve">Android / iOS (beta)</t>
  </si>
  <si>
    <t xml:space="preserve">Univ. Wisconsin (WIPAC)</t>
  </si>
  <si>
    <t xml:space="preserve">~12 muons/phone/day (theoretical)</t>
  </si>
  <si>
    <t xml:space="preserve">Data open</t>
  </si>
  <si>
    <t xml:space="preserve">Active</t>
  </si>
  <si>
    <t xml:space="preserve">CREDO Detector</t>
  </si>
  <si>
    <t xml:space="preserve">Android</t>
  </si>
  <si>
    <t xml:space="preserve">IFJ PAN Krakow</t>
  </si>
  <si>
    <t xml:space="preserve">~1 event/hr/device</t>
  </si>
  <si>
    <t xml:space="preserve">Yes (MIT)</t>
  </si>
  <si>
    <t xml:space="preserve">SORAMAME</t>
  </si>
  <si>
    <t xml:space="preserve">iOS + web</t>
  </si>
  <si>
    <t xml:space="preserve">Kanagawa Univ., Japan</t>
  </si>
  <si>
    <t xml:space="preserve">~1.94 events/10 min (iPhone 13 Pro)</t>
  </si>
  <si>
    <t xml:space="preserve">CRAYFIS</t>
  </si>
  <si>
    <t xml:space="preserve">UC Irvine / UC Davis</t>
  </si>
  <si>
    <t xml:space="preserve">UHECR focus</t>
  </si>
  <si>
    <t xml:space="preserve">Beta/invite</t>
  </si>
  <si>
    <t xml:space="preserve">MRNG prototype</t>
  </si>
  <si>
    <t xml:space="preserve">Graz Univ. Tech.</t>
  </si>
  <si>
    <t xml:space="preserve">~1 event/62.8 min (cleaned)</t>
  </si>
  <si>
    <t xml:space="preserve">Research only</t>
  </si>
  <si>
    <t xml:space="preserve">Muon-Ra</t>
  </si>
  <si>
    <t xml:space="preserve">Custom hardware</t>
  </si>
  <si>
    <t xml:space="preserve">NYU Abu Dhabi</t>
  </si>
  <si>
    <t xml:space="preserve">~25 muons/min (SiPM 25cm²)</t>
  </si>
  <si>
    <t xml:space="preserve">Research</t>
  </si>
  <si>
    <t xml:space="preserve">Radioactivity Counter</t>
  </si>
  <si>
    <t xml:space="preserve">iOS + Android</t>
  </si>
  <si>
    <t xml:space="preserve">Commercial</t>
  </si>
  <si>
    <t xml:space="preserve">N/A (radiation dosimetry)</t>
  </si>
  <si>
    <t xml:space="preserve">Active ($4.99)</t>
  </si>
  <si>
    <t xml:space="preserve">Detection Rate Factors</t>
  </si>
  <si>
    <t xml:space="preserve">Factor</t>
  </si>
  <si>
    <t xml:space="preserve">Effect</t>
  </si>
  <si>
    <t xml:space="preserve">Multiplier vs Sea Level</t>
  </si>
  <si>
    <t xml:space="preserve">Source</t>
  </si>
  <si>
    <t xml:space="preserve">Sea level baseline</t>
  </si>
  <si>
    <t xml:space="preserve">Reference flux: ~1 muon/cm²/min</t>
  </si>
  <si>
    <t xml:space="preserve">1.0x</t>
  </si>
  <si>
    <t xml:space="preserve">Standard physics</t>
  </si>
  <si>
    <t xml:space="preserve">+1,500 m altitude</t>
  </si>
  <si>
    <t xml:space="preserve">Increased cosmic ray flux</t>
  </si>
  <si>
    <t xml:space="preserve">~2.0x</t>
  </si>
  <si>
    <t xml:space="preserve">MRNG paper</t>
  </si>
  <si>
    <t xml:space="preserve">Cruising altitude (10 km)</t>
  </si>
  <si>
    <t xml:space="preserve">Much higher flux above atmosphere</t>
  </si>
  <si>
    <t xml:space="preserve">~3.2x (iPhone 13 Pro)</t>
  </si>
  <si>
    <t xml:space="preserve">SORAMAME 2025</t>
  </si>
  <si>
    <t xml:space="preserve">Polar regions</t>
  </si>
  <si>
    <t xml:space="preserve">Lower geomagnetic cutoff rigidity</t>
  </si>
  <si>
    <t xml:space="preserve">Up to 5x equatorial</t>
  </si>
  <si>
    <t xml:space="preserve">SORAMAME flight data</t>
  </si>
  <si>
    <t xml:space="preserve">Larger sensor area</t>
  </si>
  <si>
    <t xml:space="preserve">More silicon = more intercepts</t>
  </si>
  <si>
    <t xml:space="preserve">Linear with area</t>
  </si>
  <si>
    <t xml:space="preserve">DECO data</t>
  </si>
  <si>
    <t xml:space="preserve">Longer exposure time</t>
  </si>
  <si>
    <t xml:space="preserve">More muon capture window</t>
  </si>
  <si>
    <t xml:space="preserve">Linear with exposure</t>
  </si>
  <si>
    <t xml:space="preserve">General</t>
  </si>
  <si>
    <t xml:space="preserve">Inside buildings</t>
  </si>
  <si>
    <t xml:space="preserve">Muons penetrate all structures</t>
  </si>
  <si>
    <t xml:space="preserve">~1.0x (no significant change)</t>
  </si>
  <si>
    <t xml:space="preserve">Modern phone ISP filtering</t>
  </si>
  <si>
    <t xml:space="preserve">Hardware noise reduction removes tracks</t>
  </si>
  <si>
    <t xml:space="preserve">0.1-0.5x (degraded)</t>
  </si>
  <si>
    <t xml:space="preserve">Hachaj 2023</t>
  </si>
  <si>
    <t xml:space="preserve">MRNG Bit Extraction Methods (Kutschera 2023)</t>
  </si>
  <si>
    <t xml:space="preserve">Description</t>
  </si>
  <si>
    <t xml:space="preserve">Bits/Event</t>
  </si>
  <si>
    <t xml:space="preserve">NIST 800-22 Result</t>
  </si>
  <si>
    <t xml:space="preserve">P1 (Time)</t>
  </si>
  <si>
    <t xml:space="preserve">Last 5 binary digits of Unix timestamp (ms)</t>
  </si>
  <si>
    <t xml:space="preserve">5</t>
  </si>
  <si>
    <t xml:space="preserve">Component of passing P124</t>
  </si>
  <si>
    <t xml:space="preserve">Captures arrival time randomness</t>
  </si>
  <si>
    <t xml:space="preserve">P2 (Position)</t>
  </si>
  <si>
    <t xml:space="preserve">(X mod 2) + (Y mod 2) - pixel coordinate parity</t>
  </si>
  <si>
    <t xml:space="preserve">2</t>
  </si>
  <si>
    <t xml:space="preserve">Spatial randomness</t>
  </si>
  <si>
    <t xml:space="preserve">P3 (Color)</t>
  </si>
  <si>
    <t xml:space="preserve">(R + G + B parity) for above-threshold pixels</t>
  </si>
  <si>
    <t xml:space="preserve">1</t>
  </si>
  <si>
    <t xml:space="preserve">FAILS when combined with P1/P2</t>
  </si>
  <si>
    <t xml:space="preserve">Bayer mosaic correlations cause bias</t>
  </si>
  <si>
    <t xml:space="preserve">P4 (Outlier)</t>
  </si>
  <si>
    <t xml:space="preserve">Same as P3 for pixels with distance &gt; avg * multiplier</t>
  </si>
  <si>
    <t xml:space="preserve">Intensity outlier randomness</t>
  </si>
  <si>
    <t xml:space="preserve">P124 (cleaned events)</t>
  </si>
  <si>
    <t xml:space="preserve">Combined P1+P2+P4 on hot-pixel-filtered events</t>
  </si>
  <si>
    <t xml:space="preserve">~0.029/event</t>
  </si>
  <si>
    <t xml:space="preserve">6/6 PASS</t>
  </si>
  <si>
    <t xml:space="preserve">Recommended method</t>
  </si>
  <si>
    <t xml:space="preserve">RP124 (raw events)</t>
  </si>
  <si>
    <t xml:space="preserve">Combined P1+P2+P4 on all detections</t>
  </si>
  <si>
    <t xml:space="preserve">~0.023/event</t>
  </si>
  <si>
    <t xml:space="preserve">Includes hot pixel events</t>
  </si>
  <si>
    <t xml:space="preserve">P1234 / P123</t>
  </si>
  <si>
    <t xml:space="preserve">All methods combined</t>
  </si>
  <si>
    <t xml:space="preserve">FAIL</t>
  </si>
  <si>
    <t xml:space="preserve">P3 introduces bias when combined</t>
  </si>
  <si>
    <t xml:space="preserve">Signal Processing Pipeline: Python Libraries &amp; Tools</t>
  </si>
  <si>
    <t xml:space="preserve">End-to-end: Antenna -&gt; ADC -&gt; Entropy -&gt; CSPRNG -&gt; PQC Keygen</t>
  </si>
  <si>
    <t xml:space="preserve">Pipeline Stage</t>
  </si>
  <si>
    <t xml:space="preserve">Tool / Library</t>
  </si>
  <si>
    <t xml:space="preserve">Function</t>
  </si>
  <si>
    <t xml:space="preserve">Install</t>
  </si>
  <si>
    <t xml:space="preserve">1. SDR Acquisition</t>
  </si>
  <si>
    <t xml:space="preserve">GNU Radio + gr-osmosdr</t>
  </si>
  <si>
    <t xml:space="preserve">Tune SDR, capture IQ samples</t>
  </si>
  <si>
    <t xml:space="preserve">apt install gnuradio</t>
  </si>
  <si>
    <t xml:space="preserve">Core framework; supports RTL-SDR, Airspy, USRP</t>
  </si>
  <si>
    <t xml:space="preserve">rtl_sdr / rtl_power</t>
  </si>
  <si>
    <t xml:space="preserve">Command-line RTL-SDR capture</t>
  </si>
  <si>
    <t xml:space="preserve">apt install rtl-sdr</t>
  </si>
  <si>
    <t xml:space="preserve">Simple power spectrum / raw IQ capture</t>
  </si>
  <si>
    <t xml:space="preserve">SoapySDR</t>
  </si>
  <si>
    <t xml:space="preserve">Hardware abstraction layer</t>
  </si>
  <si>
    <t xml:space="preserve">pip install SoapySDR</t>
  </si>
  <si>
    <t xml:space="preserve">Unified API for multiple SDR hardware</t>
  </si>
  <si>
    <t xml:space="preserve">2. Radio Astronomy</t>
  </si>
  <si>
    <t xml:space="preserve">gr-radio_astro (WVURAIL)</t>
  </si>
  <si>
    <t xml:space="preserve">Calibrated spectrometer blocks</t>
  </si>
  <si>
    <t xml:space="preserve">GitHub: WVURAIL/gr-radio_astro</t>
  </si>
  <si>
    <t xml:space="preserve">Hot/cold calibration; spectral integration</t>
  </si>
  <si>
    <t xml:space="preserve">healpy</t>
  </si>
  <si>
    <t xml:space="preserve">HEALPix sky maps; CMB power spectrum</t>
  </si>
  <si>
    <t xml:space="preserve">pip install healpy</t>
  </si>
  <si>
    <t xml:space="preserve">Planck data analysis; C_l extraction</t>
  </si>
  <si>
    <t xml:space="preserve">astropy</t>
  </si>
  <si>
    <t xml:space="preserve">Coordinate transforms; FITS handling</t>
  </si>
  <si>
    <t xml:space="preserve">pip install astropy</t>
  </si>
  <si>
    <t xml:space="preserve">Standard astronomy Python library</t>
  </si>
  <si>
    <t xml:space="preserve">3. Signal Processing</t>
  </si>
  <si>
    <t xml:space="preserve">numpy / scipy.signal</t>
  </si>
  <si>
    <t xml:space="preserve">FFT, PSD (Welch), filtering</t>
  </si>
  <si>
    <t xml:space="preserve">pip install numpy scipy</t>
  </si>
  <si>
    <t xml:space="preserve">Core DSP; Welch PSD for noise measurement</t>
  </si>
  <si>
    <t xml:space="preserve">scipy.stats</t>
  </si>
  <si>
    <t xml:space="preserve">Statistical tests; distribution fitting</t>
  </si>
  <si>
    <t xml:space="preserve">pip install scipy</t>
  </si>
  <si>
    <t xml:space="preserve">Gaussian fit verification for noise</t>
  </si>
  <si>
    <t xml:space="preserve">4. RFI Detection</t>
  </si>
  <si>
    <t xml:space="preserve">scipy.signal (spectral kurtosis)</t>
  </si>
  <si>
    <t xml:space="preserve">Detect non-Gaussian RFI</t>
  </si>
  <si>
    <t xml:space="preserve">Kurtosis &gt; 3 indicates RFI contamination</t>
  </si>
  <si>
    <t xml:space="preserve">5. Entropy Extraction</t>
  </si>
  <si>
    <t xml:space="preserve">hashlib (SHA-256/SHA-3)</t>
  </si>
  <si>
    <t xml:space="preserve">Cryptographic conditioning</t>
  </si>
  <si>
    <t xml:space="preserve">Built-in</t>
  </si>
  <si>
    <t xml:space="preserve">NIST SP 800-90B approved conditioner</t>
  </si>
  <si>
    <t xml:space="preserve">numpy (Von Neumann)</t>
  </si>
  <si>
    <t xml:space="preserve">Bit-pair debiasing</t>
  </si>
  <si>
    <t xml:space="preserve">Custom implementation; ~48% efficiency</t>
  </si>
  <si>
    <t xml:space="preserve">Custom Toeplitz (FFT)</t>
  </si>
  <si>
    <t xml:space="preserve">numpy + scipy</t>
  </si>
  <si>
    <t xml:space="preserve">Provably secure; needs random seed matrix</t>
  </si>
  <si>
    <t xml:space="preserve">6. Health Monitoring</t>
  </si>
  <si>
    <t xml:space="preserve">sp800-90b (PyPI)</t>
  </si>
  <si>
    <t xml:space="preserve">NIST entropy assessment</t>
  </si>
  <si>
    <t xml:space="preserve">pip install sp800-90b</t>
  </si>
  <si>
    <t xml:space="preserve">Continuous health tests (RCT + APT)</t>
  </si>
  <si>
    <t xml:space="preserve">Custom (NIST SP 800-90B)</t>
  </si>
  <si>
    <t xml:space="preserve">Repetition Count + Adaptive Proportion</t>
  </si>
  <si>
    <t xml:space="preserve">Custom Python</t>
  </si>
  <si>
    <t xml:space="preserve">Mandatory for any entropy source</t>
  </si>
  <si>
    <t xml:space="preserve">7. Entropy Injection</t>
  </si>
  <si>
    <t xml:space="preserve">rngd (rng-tools)</t>
  </si>
  <si>
    <t xml:space="preserve">Feed /dev/random pool</t>
  </si>
  <si>
    <t xml:space="preserve">apt install rng-tools</t>
  </si>
  <si>
    <t xml:space="preserve">Daemon; reads from device/pipe</t>
  </si>
  <si>
    <t xml:space="preserve">fcntl (RNDADDENTROPY)</t>
  </si>
  <si>
    <t xml:space="preserve">Direct kernel pool injection</t>
  </si>
  <si>
    <t xml:space="preserve">Built-in (root required)</t>
  </si>
  <si>
    <t xml:space="preserve">Python: fcntl.ioctl(fd, 0x40085203, pool)</t>
  </si>
  <si>
    <t xml:space="preserve">8. DRBG</t>
  </si>
  <si>
    <t xml:space="preserve">Custom HMAC_DRBG</t>
  </si>
  <si>
    <t xml:space="preserve">NIST SP 800-90A CSPRNG</t>
  </si>
  <si>
    <t xml:space="preserve">Seeds from hardware entropy</t>
  </si>
  <si>
    <t xml:space="preserve">PyCryptodome AES-CTR</t>
  </si>
  <si>
    <t xml:space="preserve">CTR_DRBG equivalent</t>
  </si>
  <si>
    <t xml:space="preserve">pip install pycryptodome</t>
  </si>
  <si>
    <t xml:space="preserve">Hardware-accelerated on AES-NI</t>
  </si>
  <si>
    <t xml:space="preserve">9. PQC Keygen</t>
  </si>
  <si>
    <t xml:space="preserve">liboqs-python</t>
  </si>
  <si>
    <t xml:space="preserve">ML-KEM-768 / ML-DSA-65 keygen</t>
  </si>
  <si>
    <t xml:space="preserve">pip install liboqs-python</t>
  </si>
  <si>
    <t xml:space="preserve">Custom RNG callback via OQS API</t>
  </si>
  <si>
    <t xml:space="preserve">pqcrypto</t>
  </si>
  <si>
    <t xml:space="preserve">Kyber/Dilithium Python bindings</t>
  </si>
  <si>
    <t xml:space="preserve">pip install pqcrypto</t>
  </si>
  <si>
    <t xml:space="preserve">Alternative to liboqs</t>
  </si>
  <si>
    <t xml:space="preserve">10. Validation</t>
  </si>
  <si>
    <t xml:space="preserve">NIST STS (assess)</t>
  </si>
  <si>
    <t xml:space="preserve">Run 15 statistical tests</t>
  </si>
  <si>
    <t xml:space="preserve">Download from NIST</t>
  </si>
  <si>
    <t xml:space="preserve">Minimum 1 Mbit input</t>
  </si>
  <si>
    <t xml:space="preserve">dieharder</t>
  </si>
  <si>
    <t xml:space="preserve">Comprehensive test battery</t>
  </si>
  <si>
    <t xml:space="preserve">apt install dieharder</t>
  </si>
  <si>
    <t xml:space="preserve">~100+ tests; ~10 MB minimum</t>
  </si>
  <si>
    <t xml:space="preserve">TestU01 (C library)</t>
  </si>
  <si>
    <t xml:space="preserve">SmallCrush / Crush / BigCrush</t>
  </si>
  <si>
    <t xml:space="preserve">Build from source</t>
  </si>
  <si>
    <t xml:space="preserve">Most rigorous; BigCrush needs ~240 GB</t>
  </si>
  <si>
    <t xml:space="preserve">Quick entropy assessment</t>
  </si>
  <si>
    <t xml:space="preserve">Fast 5-metric check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</si>
</sst>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8251D"/>
      <name val="Calibri"/>
      <family val="0"/>
      <charset val="1"/>
    </font>
    <font>
      <sz val="11"/>
      <color rgb="FF7A797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1"/>
      <color rgb="FF28251D"/>
      <name val="Calibri"/>
      <family val="0"/>
      <charset val="1"/>
    </font>
    <font>
      <u val="single"/>
      <sz val="10"/>
      <color rgb="FF0000FF"/>
      <name val="Calibri"/>
      <family val="0"/>
      <charset val="1"/>
    </font>
    <font>
      <b val="true"/>
      <sz val="14"/>
      <color rgb="FF28251D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0808D"/>
        <bgColor rgb="FF008080"/>
      </patternFill>
    </fill>
    <fill>
      <patternFill patternType="solid">
        <fgColor rgb="FFFFF3CD"/>
        <bgColor rgb="FFFFE8B8"/>
      </patternFill>
    </fill>
    <fill>
      <patternFill patternType="solid">
        <fgColor rgb="FFF8D7DA"/>
        <bgColor rgb="FFFFE8B8"/>
      </patternFill>
    </fill>
    <fill>
      <patternFill patternType="solid">
        <fgColor rgb="FFFFE8B8"/>
        <bgColor rgb="FFFFF3CD"/>
      </patternFill>
    </fill>
    <fill>
      <patternFill patternType="solid">
        <fgColor rgb="FFDFF0D8"/>
        <bgColor rgb="FFC6EFCE"/>
      </patternFill>
    </fill>
    <fill>
      <patternFill patternType="solid">
        <fgColor rgb="FFC6EFCE"/>
        <bgColor rgb="FFDFF0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44454"/>
      <rgbColor rgb="FFFFF3CD"/>
      <rgbColor rgb="FFDFF0D8"/>
      <rgbColor rgb="FF660066"/>
      <rgbColor rgb="FFFF8080"/>
      <rgbColor rgb="FF0064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8B8"/>
      <rgbColor rgb="FF99CCFF"/>
      <rgbColor rgb="FFFF99CC"/>
      <rgbColor rgb="FFCC99FF"/>
      <rgbColor rgb="FFF8D7DA"/>
      <rgbColor rgb="FF3366FF"/>
      <rgbColor rgb="FF33CCCC"/>
      <rgbColor rgb="FF99CC00"/>
      <rgbColor rgb="FFFFC553"/>
      <rgbColor rgb="FFFF9900"/>
      <rgbColor rgb="FFDA7101"/>
      <rgbColor rgb="FF666699"/>
      <rgbColor rgb="FF969696"/>
      <rgbColor rgb="FF1B474D"/>
      <rgbColor rgb="FF339966"/>
      <rgbColor rgb="FF003300"/>
      <rgbColor rgb="FF333300"/>
      <rgbColor rgb="FFA84B2F"/>
      <rgbColor rgb="FF7A39BB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mc.ncbi.nlm.nih.gov/articles/PMC5639047/" TargetMode="External"/><Relationship Id="rId2" Type="http://schemas.openxmlformats.org/officeDocument/2006/relationships/hyperlink" Target="https://pmc.ncbi.nlm.nih.gov/articles/PMC10297075/" TargetMode="External"/><Relationship Id="rId3" Type="http://schemas.openxmlformats.org/officeDocument/2006/relationships/hyperlink" Target="https://ro.ecu.edu.au/context/ism/article/1190/viewcontent/ID_4_AISM_2016_CELESTIAL_SOURCES_FOR_RANDOM_NUMBER_GENERATION.pdf" TargetMode="External"/><Relationship Id="rId4" Type="http://schemas.openxmlformats.org/officeDocument/2006/relationships/hyperlink" Target="https://ieeexplore.ieee.org/document/9159728/" TargetMode="External"/><Relationship Id="rId5" Type="http://schemas.openxmlformats.org/officeDocument/2006/relationships/hyperlink" Target="https://link.aps.org/doi/10.1103/PhysRevX.4.03105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808D"/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32"/>
    <col collapsed="false" customWidth="true" hidden="false" outlineLevel="0" max="4" min="4" style="1" width="28"/>
    <col collapsed="false" customWidth="true" hidden="false" outlineLevel="0" max="6" min="5" style="1" width="26"/>
    <col collapsed="false" customWidth="true" hidden="false" outlineLevel="0" max="8" min="7" style="1" width="2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7.75" hidden="false" customHeight="true" outlineLevel="0" collapsed="false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</row>
    <row r="6" customFormat="false" ht="27.75" hidden="false" customHeight="true" outlineLevel="0" collapsed="false">
      <c r="A6" s="5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20</v>
      </c>
      <c r="G6" s="6" t="s">
        <v>23</v>
      </c>
      <c r="H6" s="6" t="s">
        <v>24</v>
      </c>
    </row>
    <row r="7" customFormat="false" ht="15" hidden="false" customHeight="true" outlineLevel="0" collapsed="false">
      <c r="A7" s="5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31</v>
      </c>
      <c r="H7" s="6" t="s">
        <v>31</v>
      </c>
    </row>
    <row r="8" customFormat="false" ht="15" hidden="false" customHeight="true" outlineLevel="0" collapsed="false">
      <c r="A8" s="5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38</v>
      </c>
    </row>
    <row r="9" customFormat="false" ht="15" hidden="false" customHeight="true" outlineLevel="0" collapsed="false">
      <c r="A9" s="5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45</v>
      </c>
      <c r="H9" s="6" t="s">
        <v>46</v>
      </c>
    </row>
    <row r="10" customFormat="false" ht="15" hidden="false" customHeight="true" outlineLevel="0" collapsed="false">
      <c r="A10" s="5" t="s">
        <v>47</v>
      </c>
      <c r="B10" s="6" t="s">
        <v>48</v>
      </c>
      <c r="C10" s="6" t="s">
        <v>49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</row>
    <row r="11" customFormat="false" ht="27.75" hidden="false" customHeight="true" outlineLevel="0" collapsed="false">
      <c r="A11" s="5" t="s">
        <v>54</v>
      </c>
      <c r="B11" s="6" t="s">
        <v>55</v>
      </c>
      <c r="C11" s="6" t="s">
        <v>56</v>
      </c>
      <c r="D11" s="6" t="s">
        <v>57</v>
      </c>
      <c r="E11" s="6" t="s">
        <v>58</v>
      </c>
      <c r="F11" s="6" t="s">
        <v>59</v>
      </c>
      <c r="G11" s="6" t="s">
        <v>60</v>
      </c>
      <c r="H11" s="6" t="s">
        <v>59</v>
      </c>
    </row>
    <row r="12" customFormat="false" ht="15" hidden="false" customHeight="true" outlineLevel="0" collapsed="false">
      <c r="A12" s="5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59</v>
      </c>
      <c r="G12" s="6" t="s">
        <v>66</v>
      </c>
      <c r="H12" s="6" t="s">
        <v>66</v>
      </c>
    </row>
    <row r="13" customFormat="false" ht="15" hidden="false" customHeight="true" outlineLevel="0" collapsed="false">
      <c r="A13" s="5" t="s">
        <v>67</v>
      </c>
      <c r="B13" s="6" t="s">
        <v>65</v>
      </c>
      <c r="C13" s="6" t="s">
        <v>65</v>
      </c>
      <c r="D13" s="6" t="s">
        <v>65</v>
      </c>
      <c r="E13" s="6" t="s">
        <v>65</v>
      </c>
      <c r="F13" s="6" t="s">
        <v>68</v>
      </c>
      <c r="G13" s="6" t="s">
        <v>66</v>
      </c>
      <c r="H13" s="6" t="s">
        <v>66</v>
      </c>
    </row>
    <row r="14" customFormat="false" ht="27.75" hidden="false" customHeight="true" outlineLevel="0" collapsed="false">
      <c r="A14" s="5" t="s">
        <v>69</v>
      </c>
      <c r="B14" s="6" t="s">
        <v>70</v>
      </c>
      <c r="C14" s="6" t="s">
        <v>71</v>
      </c>
      <c r="D14" s="6" t="s">
        <v>72</v>
      </c>
      <c r="E14" s="6" t="s">
        <v>73</v>
      </c>
      <c r="F14" s="6" t="s">
        <v>73</v>
      </c>
      <c r="G14" s="6" t="s">
        <v>74</v>
      </c>
      <c r="H14" s="6" t="s">
        <v>75</v>
      </c>
    </row>
    <row r="15" customFormat="false" ht="15" hidden="false" customHeight="true" outlineLevel="0" collapsed="false">
      <c r="A15" s="5" t="s">
        <v>76</v>
      </c>
      <c r="B15" s="6" t="s">
        <v>77</v>
      </c>
      <c r="C15" s="6" t="s">
        <v>78</v>
      </c>
      <c r="D15" s="6" t="s">
        <v>79</v>
      </c>
      <c r="E15" s="6" t="s">
        <v>80</v>
      </c>
      <c r="F15" s="6" t="s">
        <v>81</v>
      </c>
      <c r="G15" s="6" t="s">
        <v>82</v>
      </c>
      <c r="H15" s="6" t="s">
        <v>82</v>
      </c>
    </row>
    <row r="16" customFormat="false" ht="27.75" hidden="false" customHeight="true" outlineLevel="0" collapsed="false">
      <c r="A16" s="5" t="s">
        <v>83</v>
      </c>
      <c r="B16" s="6" t="s">
        <v>84</v>
      </c>
      <c r="C16" s="6" t="s">
        <v>85</v>
      </c>
      <c r="D16" s="6" t="s">
        <v>86</v>
      </c>
      <c r="E16" s="6" t="s">
        <v>87</v>
      </c>
      <c r="F16" s="6" t="s">
        <v>88</v>
      </c>
      <c r="G16" s="6" t="s">
        <v>89</v>
      </c>
      <c r="H16" s="6" t="s">
        <v>90</v>
      </c>
    </row>
    <row r="17" customFormat="false" ht="27.75" hidden="false" customHeight="true" outlineLevel="0" collapsed="false">
      <c r="A17" s="5" t="s">
        <v>91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95</v>
      </c>
      <c r="G17" s="6" t="s">
        <v>94</v>
      </c>
      <c r="H17" s="6" t="s">
        <v>94</v>
      </c>
    </row>
    <row r="18" customFormat="false" ht="27.75" hidden="false" customHeight="true" outlineLevel="0" collapsed="false">
      <c r="A18" s="5" t="s">
        <v>96</v>
      </c>
      <c r="B18" s="6" t="s">
        <v>97</v>
      </c>
      <c r="C18" s="6" t="s">
        <v>98</v>
      </c>
      <c r="D18" s="6" t="s">
        <v>99</v>
      </c>
      <c r="E18" s="6" t="s">
        <v>100</v>
      </c>
      <c r="F18" s="6" t="s">
        <v>101</v>
      </c>
      <c r="G18" s="6" t="s">
        <v>102</v>
      </c>
      <c r="H18" s="6" t="s">
        <v>103</v>
      </c>
    </row>
    <row r="21" customFormat="false" ht="15" hidden="false" customHeight="true" outlineLevel="0" collapsed="false">
      <c r="A21" s="7" t="s">
        <v>104</v>
      </c>
      <c r="B21" s="7"/>
      <c r="C21" s="7"/>
      <c r="D21" s="7"/>
      <c r="E21" s="7"/>
      <c r="F21" s="7"/>
      <c r="G21" s="7"/>
      <c r="H21" s="7"/>
    </row>
    <row r="22" customFormat="false" ht="15" hidden="false" customHeight="true" outlineLevel="0" collapsed="false">
      <c r="A22" s="8" t="s">
        <v>105</v>
      </c>
    </row>
    <row r="23" customFormat="false" ht="15" hidden="false" customHeight="true" outlineLevel="0" collapsed="false">
      <c r="A23" s="8" t="s">
        <v>106</v>
      </c>
    </row>
    <row r="24" customFormat="false" ht="15" hidden="false" customHeight="true" outlineLevel="0" collapsed="false">
      <c r="A24" s="8" t="s">
        <v>107</v>
      </c>
    </row>
    <row r="25" customFormat="false" ht="15" hidden="false" customHeight="true" outlineLevel="0" collapsed="false">
      <c r="A25" s="8" t="s">
        <v>108</v>
      </c>
    </row>
    <row r="26" customFormat="false" ht="15" hidden="false" customHeight="true" outlineLevel="0" collapsed="false">
      <c r="A26" s="8" t="s">
        <v>109</v>
      </c>
    </row>
  </sheetData>
  <mergeCells count="3">
    <mergeCell ref="A1:J1"/>
    <mergeCell ref="A2:J2"/>
    <mergeCell ref="A21:H21"/>
  </mergeCells>
  <hyperlinks>
    <hyperlink ref="A22" r:id="rId1" display="Lee &amp; Cleaver (2017) - CMB as RBG"/>
    <hyperlink ref="A23" r:id="rId2" display="Kutschera et al. (2023) - MRNG"/>
    <hyperlink ref="A24" r:id="rId3" display="Chapman et al. (2016) - Celestial RNG"/>
    <hyperlink ref="A25" r:id="rId4" display="Gamil et al. (2020) - Muon-Ra"/>
    <hyperlink ref="A26" r:id="rId5" display="Sanguinetti et al. (2014) - Camera QR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74D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7" min="5" style="1" width="14"/>
    <col collapsed="false" customWidth="true" hidden="false" outlineLevel="0" max="8" min="8" style="1" width="16"/>
    <col collapsed="false" customWidth="true" hidden="false" outlineLevel="0" max="9" min="9" style="1" width="36"/>
  </cols>
  <sheetData>
    <row r="1" customFormat="false" ht="19.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111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A4" s="4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118</v>
      </c>
      <c r="H4" s="4" t="s">
        <v>119</v>
      </c>
      <c r="I4" s="4" t="s">
        <v>120</v>
      </c>
    </row>
    <row r="5" customFormat="false" ht="15" hidden="false" customHeight="true" outlineLevel="0" collapsed="false">
      <c r="A5" s="5" t="s">
        <v>121</v>
      </c>
      <c r="B5" s="6" t="s">
        <v>122</v>
      </c>
      <c r="C5" s="6" t="s">
        <v>123</v>
      </c>
      <c r="D5" s="9" t="n">
        <v>0.5</v>
      </c>
      <c r="E5" s="9" t="n">
        <v>35</v>
      </c>
      <c r="F5" s="6" t="s">
        <v>124</v>
      </c>
      <c r="G5" s="6" t="s">
        <v>125</v>
      </c>
      <c r="H5" s="6" t="s">
        <v>126</v>
      </c>
      <c r="I5" s="6" t="s">
        <v>127</v>
      </c>
    </row>
    <row r="6" customFormat="false" ht="15" hidden="false" customHeight="true" outlineLevel="0" collapsed="false">
      <c r="A6" s="5" t="s">
        <v>121</v>
      </c>
      <c r="B6" s="6" t="s">
        <v>128</v>
      </c>
      <c r="C6" s="6" t="s">
        <v>129</v>
      </c>
      <c r="D6" s="6" t="s">
        <v>130</v>
      </c>
      <c r="E6" s="6" t="s">
        <v>131</v>
      </c>
      <c r="F6" s="6" t="s">
        <v>132</v>
      </c>
      <c r="G6" s="6" t="n">
        <f aca="false">ROUND(2.725/((E7+F7/2))*100,1)</f>
        <v>3.3</v>
      </c>
      <c r="H6" s="6" t="s">
        <v>133</v>
      </c>
      <c r="I6" s="6" t="s">
        <v>134</v>
      </c>
    </row>
    <row r="7" customFormat="false" ht="15" hidden="false" customHeight="true" outlineLevel="0" collapsed="false">
      <c r="A7" s="5" t="s">
        <v>121</v>
      </c>
      <c r="B7" s="6" t="s">
        <v>135</v>
      </c>
      <c r="C7" s="6" t="s">
        <v>129</v>
      </c>
      <c r="D7" s="9" t="n">
        <v>0.7</v>
      </c>
      <c r="E7" s="9" t="n">
        <v>51</v>
      </c>
      <c r="F7" s="6" t="s">
        <v>136</v>
      </c>
      <c r="G7" s="6" t="n">
        <f aca="false">ROUND(2.725/E8*100,1)</f>
        <v>10.9</v>
      </c>
      <c r="H7" s="6" t="s">
        <v>137</v>
      </c>
      <c r="I7" s="6" t="s">
        <v>138</v>
      </c>
    </row>
    <row r="8" customFormat="false" ht="15" hidden="false" customHeight="true" outlineLevel="0" collapsed="false">
      <c r="A8" s="5" t="s">
        <v>139</v>
      </c>
      <c r="B8" s="6" t="s">
        <v>140</v>
      </c>
      <c r="C8" s="6" t="s">
        <v>141</v>
      </c>
      <c r="D8" s="6" t="s">
        <v>142</v>
      </c>
      <c r="E8" s="9" t="n">
        <v>25</v>
      </c>
      <c r="F8" s="6" t="s">
        <v>143</v>
      </c>
      <c r="G8" s="6" t="s">
        <v>144</v>
      </c>
      <c r="H8" s="6" t="s">
        <v>145</v>
      </c>
      <c r="I8" s="6" t="s">
        <v>146</v>
      </c>
    </row>
    <row r="9" customFormat="false" ht="15" hidden="false" customHeight="true" outlineLevel="0" collapsed="false">
      <c r="A9" s="5" t="s">
        <v>139</v>
      </c>
      <c r="B9" s="6" t="s">
        <v>147</v>
      </c>
      <c r="C9" s="6" t="s">
        <v>141</v>
      </c>
      <c r="D9" s="6" t="s">
        <v>148</v>
      </c>
      <c r="E9" s="6" t="s">
        <v>149</v>
      </c>
      <c r="F9" s="6" t="s">
        <v>150</v>
      </c>
      <c r="G9" s="6" t="n">
        <f aca="false">ROUND(2.725/22.5*100,1)</f>
        <v>12.1</v>
      </c>
      <c r="H9" s="6" t="s">
        <v>151</v>
      </c>
      <c r="I9" s="6" t="s">
        <v>152</v>
      </c>
    </row>
    <row r="10" customFormat="false" ht="15" hidden="false" customHeight="true" outlineLevel="0" collapsed="false">
      <c r="A10" s="5" t="s">
        <v>153</v>
      </c>
      <c r="B10" s="6" t="s">
        <v>154</v>
      </c>
      <c r="C10" s="6" t="s">
        <v>155</v>
      </c>
      <c r="D10" s="6" t="s">
        <v>156</v>
      </c>
      <c r="E10" s="6" t="s">
        <v>157</v>
      </c>
      <c r="F10" s="6" t="s">
        <v>158</v>
      </c>
      <c r="G10" s="6" t="s">
        <v>158</v>
      </c>
      <c r="H10" s="6" t="s">
        <v>159</v>
      </c>
      <c r="I10" s="6" t="s">
        <v>160</v>
      </c>
    </row>
    <row r="11" customFormat="false" ht="15" hidden="false" customHeight="true" outlineLevel="0" collapsed="false">
      <c r="A11" s="5" t="s">
        <v>153</v>
      </c>
      <c r="B11" s="6" t="s">
        <v>161</v>
      </c>
      <c r="C11" s="6" t="s">
        <v>162</v>
      </c>
      <c r="D11" s="6" t="s">
        <v>163</v>
      </c>
      <c r="E11" s="6" t="s">
        <v>164</v>
      </c>
      <c r="F11" s="6" t="s">
        <v>158</v>
      </c>
      <c r="G11" s="6" t="s">
        <v>158</v>
      </c>
      <c r="H11" s="6" t="s">
        <v>165</v>
      </c>
      <c r="I11" s="6" t="s">
        <v>166</v>
      </c>
    </row>
    <row r="12" customFormat="false" ht="15" hidden="false" customHeight="true" outlineLevel="0" collapsed="false">
      <c r="A12" s="5" t="s">
        <v>153</v>
      </c>
      <c r="B12" s="6" t="s">
        <v>167</v>
      </c>
      <c r="C12" s="6" t="s">
        <v>168</v>
      </c>
      <c r="D12" s="6" t="s">
        <v>169</v>
      </c>
      <c r="E12" s="6" t="s">
        <v>170</v>
      </c>
      <c r="F12" s="6" t="s">
        <v>158</v>
      </c>
      <c r="G12" s="6" t="s">
        <v>158</v>
      </c>
      <c r="H12" s="6" t="s">
        <v>171</v>
      </c>
      <c r="I12" s="6" t="s">
        <v>172</v>
      </c>
    </row>
    <row r="13" customFormat="false" ht="15" hidden="false" customHeight="true" outlineLevel="0" collapsed="false">
      <c r="A13" s="5" t="s">
        <v>153</v>
      </c>
      <c r="B13" s="6" t="s">
        <v>173</v>
      </c>
      <c r="C13" s="6" t="s">
        <v>155</v>
      </c>
      <c r="D13" s="6" t="s">
        <v>174</v>
      </c>
      <c r="E13" s="6" t="s">
        <v>157</v>
      </c>
      <c r="F13" s="6" t="s">
        <v>158</v>
      </c>
      <c r="G13" s="6" t="s">
        <v>158</v>
      </c>
      <c r="H13" s="6" t="s">
        <v>175</v>
      </c>
      <c r="I13" s="6" t="s">
        <v>176</v>
      </c>
    </row>
    <row r="14" customFormat="false" ht="15" hidden="false" customHeight="true" outlineLevel="0" collapsed="false">
      <c r="A14" s="5" t="s">
        <v>177</v>
      </c>
      <c r="B14" s="6" t="s">
        <v>178</v>
      </c>
      <c r="C14" s="6" t="s">
        <v>179</v>
      </c>
      <c r="D14" s="9" t="n">
        <v>0.8</v>
      </c>
      <c r="E14" s="9" t="n">
        <v>58</v>
      </c>
      <c r="F14" s="6" t="s">
        <v>180</v>
      </c>
      <c r="G14" s="6" t="s">
        <v>158</v>
      </c>
      <c r="H14" s="6" t="s">
        <v>181</v>
      </c>
      <c r="I14" s="6" t="s">
        <v>182</v>
      </c>
    </row>
    <row r="15" customFormat="false" ht="15" hidden="false" customHeight="true" outlineLevel="0" collapsed="false">
      <c r="A15" s="5" t="s">
        <v>183</v>
      </c>
      <c r="B15" s="6" t="s">
        <v>184</v>
      </c>
      <c r="C15" s="6" t="s">
        <v>185</v>
      </c>
      <c r="D15" s="6" t="s">
        <v>186</v>
      </c>
      <c r="E15" s="6" t="s">
        <v>187</v>
      </c>
      <c r="F15" s="6" t="s">
        <v>188</v>
      </c>
      <c r="G15" s="6" t="n">
        <f aca="false">ROUND(2.725/20*100,1)</f>
        <v>13.6</v>
      </c>
      <c r="H15" s="6" t="s">
        <v>189</v>
      </c>
      <c r="I15" s="6" t="s">
        <v>190</v>
      </c>
    </row>
    <row r="18" customFormat="false" ht="17.25" hidden="false" customHeight="true" outlineLevel="0" collapsed="false">
      <c r="A18" s="10" t="s">
        <v>191</v>
      </c>
      <c r="B18" s="10"/>
      <c r="C18" s="10"/>
      <c r="D18" s="10"/>
      <c r="E18" s="10"/>
      <c r="F18" s="10"/>
      <c r="G18" s="10"/>
      <c r="H18" s="10"/>
      <c r="I18" s="10"/>
    </row>
    <row r="20" customFormat="false" ht="41.25" hidden="false" customHeight="true" outlineLevel="0" collapsed="false">
      <c r="A20" s="4" t="s">
        <v>192</v>
      </c>
      <c r="B20" s="4" t="s">
        <v>193</v>
      </c>
      <c r="C20" s="4" t="s">
        <v>194</v>
      </c>
      <c r="D20" s="4" t="s">
        <v>195</v>
      </c>
      <c r="E20" s="4" t="s">
        <v>196</v>
      </c>
      <c r="F20" s="4" t="s">
        <v>197</v>
      </c>
      <c r="G20" s="4" t="s">
        <v>198</v>
      </c>
      <c r="H20" s="4" t="s">
        <v>199</v>
      </c>
    </row>
    <row r="21" customFormat="false" ht="41.25" hidden="false" customHeight="true" outlineLevel="0" collapsed="false">
      <c r="A21" s="5" t="s">
        <v>200</v>
      </c>
      <c r="B21" s="6" t="s">
        <v>201</v>
      </c>
      <c r="C21" s="6" t="s">
        <v>202</v>
      </c>
      <c r="D21" s="6" t="s">
        <v>203</v>
      </c>
      <c r="E21" s="6" t="s">
        <v>204</v>
      </c>
      <c r="F21" s="6" t="s">
        <v>205</v>
      </c>
      <c r="G21" s="6" t="s">
        <v>206</v>
      </c>
      <c r="H21" s="6" t="s">
        <v>207</v>
      </c>
    </row>
    <row r="22" customFormat="false" ht="41.25" hidden="false" customHeight="true" outlineLevel="0" collapsed="false">
      <c r="A22" s="5" t="s">
        <v>208</v>
      </c>
      <c r="B22" s="6" t="s">
        <v>209</v>
      </c>
      <c r="C22" s="6" t="s">
        <v>210</v>
      </c>
      <c r="D22" s="6" t="s">
        <v>211</v>
      </c>
      <c r="E22" s="6" t="s">
        <v>212</v>
      </c>
      <c r="F22" s="6" t="s">
        <v>213</v>
      </c>
      <c r="G22" s="6" t="s">
        <v>214</v>
      </c>
      <c r="H22" s="6" t="s">
        <v>215</v>
      </c>
    </row>
    <row r="23" customFormat="false" ht="41.25" hidden="false" customHeight="true" outlineLevel="0" collapsed="false">
      <c r="A23" s="5" t="s">
        <v>216</v>
      </c>
      <c r="B23" s="6" t="s">
        <v>217</v>
      </c>
      <c r="C23" s="6" t="s">
        <v>218</v>
      </c>
      <c r="D23" s="6" t="s">
        <v>219</v>
      </c>
      <c r="E23" s="6" t="s">
        <v>220</v>
      </c>
      <c r="F23" s="6" t="s">
        <v>221</v>
      </c>
      <c r="G23" s="6" t="s">
        <v>222</v>
      </c>
      <c r="H23" s="6" t="s">
        <v>223</v>
      </c>
    </row>
    <row r="24" customFormat="false" ht="41.25" hidden="false" customHeight="true" outlineLevel="0" collapsed="false">
      <c r="A24" s="5" t="s">
        <v>224</v>
      </c>
      <c r="B24" s="6" t="s">
        <v>225</v>
      </c>
      <c r="C24" s="6" t="s">
        <v>226</v>
      </c>
      <c r="D24" s="6" t="s">
        <v>227</v>
      </c>
      <c r="E24" s="6" t="s">
        <v>212</v>
      </c>
      <c r="F24" s="6" t="s">
        <v>213</v>
      </c>
      <c r="G24" s="6" t="s">
        <v>228</v>
      </c>
      <c r="H24" s="6" t="s">
        <v>229</v>
      </c>
    </row>
    <row r="27" customFormat="false" ht="17.25" hidden="false" customHeight="true" outlineLevel="0" collapsed="false">
      <c r="A27" s="10" t="s">
        <v>230</v>
      </c>
      <c r="B27" s="10"/>
      <c r="C27" s="10"/>
      <c r="D27" s="10"/>
      <c r="E27" s="10"/>
      <c r="F27" s="10"/>
      <c r="G27" s="10"/>
      <c r="H27" s="10"/>
      <c r="I27" s="10"/>
    </row>
    <row r="29" customFormat="false" ht="27.75" hidden="false" customHeight="true" outlineLevel="0" collapsed="false">
      <c r="A29" s="4" t="s">
        <v>231</v>
      </c>
      <c r="B29" s="4" t="s">
        <v>232</v>
      </c>
      <c r="C29" s="4" t="s">
        <v>233</v>
      </c>
      <c r="D29" s="4" t="s">
        <v>119</v>
      </c>
      <c r="E29" s="4" t="s">
        <v>234</v>
      </c>
      <c r="F29" s="4" t="s">
        <v>235</v>
      </c>
    </row>
    <row r="30" customFormat="false" ht="27.75" hidden="false" customHeight="true" outlineLevel="0" collapsed="false">
      <c r="A30" s="5" t="s">
        <v>236</v>
      </c>
      <c r="B30" s="6" t="s">
        <v>237</v>
      </c>
      <c r="C30" s="6" t="s">
        <v>238</v>
      </c>
      <c r="D30" s="6" t="s">
        <v>151</v>
      </c>
      <c r="E30" s="6" t="s">
        <v>239</v>
      </c>
      <c r="F30" s="6" t="s">
        <v>240</v>
      </c>
    </row>
    <row r="31" customFormat="false" ht="27.75" hidden="false" customHeight="true" outlineLevel="0" collapsed="false">
      <c r="A31" s="5" t="s">
        <v>241</v>
      </c>
      <c r="B31" s="6" t="s">
        <v>237</v>
      </c>
      <c r="C31" s="6" t="s">
        <v>242</v>
      </c>
      <c r="D31" s="6" t="s">
        <v>243</v>
      </c>
      <c r="E31" s="6" t="s">
        <v>244</v>
      </c>
      <c r="F31" s="6" t="s">
        <v>245</v>
      </c>
    </row>
    <row r="32" customFormat="false" ht="54.75" hidden="false" customHeight="true" outlineLevel="0" collapsed="false">
      <c r="A32" s="5" t="s">
        <v>246</v>
      </c>
      <c r="B32" s="6" t="s">
        <v>247</v>
      </c>
      <c r="C32" s="6" t="s">
        <v>248</v>
      </c>
      <c r="D32" s="6" t="s">
        <v>249</v>
      </c>
      <c r="E32" s="6" t="s">
        <v>250</v>
      </c>
      <c r="F32" s="6" t="s">
        <v>251</v>
      </c>
    </row>
    <row r="33" customFormat="false" ht="41.25" hidden="false" customHeight="true" outlineLevel="0" collapsed="false">
      <c r="A33" s="5" t="s">
        <v>252</v>
      </c>
      <c r="B33" s="6" t="s">
        <v>253</v>
      </c>
      <c r="C33" s="6" t="s">
        <v>254</v>
      </c>
      <c r="D33" s="6" t="s">
        <v>43</v>
      </c>
      <c r="E33" s="6" t="s">
        <v>255</v>
      </c>
      <c r="F33" s="6" t="s">
        <v>256</v>
      </c>
    </row>
    <row r="34" customFormat="false" ht="41.25" hidden="false" customHeight="true" outlineLevel="0" collapsed="false">
      <c r="A34" s="5" t="s">
        <v>257</v>
      </c>
      <c r="B34" s="6" t="s">
        <v>258</v>
      </c>
      <c r="C34" s="6" t="s">
        <v>259</v>
      </c>
      <c r="D34" s="6" t="s">
        <v>260</v>
      </c>
      <c r="E34" s="6" t="s">
        <v>261</v>
      </c>
      <c r="F34" s="6" t="s">
        <v>262</v>
      </c>
    </row>
    <row r="35" customFormat="false" ht="41.25" hidden="false" customHeight="true" outlineLevel="0" collapsed="false">
      <c r="A35" s="5" t="s">
        <v>263</v>
      </c>
      <c r="B35" s="6" t="s">
        <v>264</v>
      </c>
      <c r="C35" s="6" t="s">
        <v>187</v>
      </c>
      <c r="D35" s="6" t="s">
        <v>265</v>
      </c>
      <c r="E35" s="6" t="s">
        <v>266</v>
      </c>
      <c r="F35" s="6" t="s">
        <v>267</v>
      </c>
    </row>
    <row r="36" customFormat="false" ht="41.25" hidden="false" customHeight="true" outlineLevel="0" collapsed="false">
      <c r="A36" s="5" t="s">
        <v>268</v>
      </c>
      <c r="B36" s="6" t="s">
        <v>269</v>
      </c>
      <c r="C36" s="6" t="s">
        <v>270</v>
      </c>
      <c r="D36" s="6" t="s">
        <v>271</v>
      </c>
      <c r="E36" s="6" t="s">
        <v>272</v>
      </c>
      <c r="F36" s="6" t="s">
        <v>273</v>
      </c>
    </row>
  </sheetData>
  <mergeCells count="4">
    <mergeCell ref="A1:J1"/>
    <mergeCell ref="A2:J2"/>
    <mergeCell ref="A18:I18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4B2F"/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5" min="3" style="1" width="18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22"/>
  </cols>
  <sheetData>
    <row r="1" customFormat="false" ht="19.5" hidden="false" customHeight="true" outlineLevel="0" collapsed="false">
      <c r="A1" s="2" t="s">
        <v>274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275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A4" s="4" t="s">
        <v>276</v>
      </c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  <c r="I4" s="4" t="s">
        <v>284</v>
      </c>
    </row>
    <row r="5" customFormat="false" ht="27.75" hidden="false" customHeight="true" outlineLevel="0" collapsed="false">
      <c r="A5" s="5" t="s">
        <v>285</v>
      </c>
      <c r="B5" s="6" t="s">
        <v>286</v>
      </c>
      <c r="C5" s="6" t="s">
        <v>287</v>
      </c>
      <c r="D5" s="6" t="s">
        <v>288</v>
      </c>
      <c r="E5" s="6" t="s">
        <v>289</v>
      </c>
      <c r="F5" s="6" t="s">
        <v>289</v>
      </c>
      <c r="G5" s="6" t="s">
        <v>290</v>
      </c>
      <c r="H5" s="6" t="s">
        <v>291</v>
      </c>
      <c r="I5" s="6" t="s">
        <v>292</v>
      </c>
    </row>
    <row r="6" customFormat="false" ht="15" hidden="false" customHeight="true" outlineLevel="0" collapsed="false">
      <c r="A6" s="5" t="s">
        <v>293</v>
      </c>
      <c r="B6" s="6" t="s">
        <v>294</v>
      </c>
      <c r="C6" s="6" t="s">
        <v>295</v>
      </c>
      <c r="D6" s="6" t="s">
        <v>296</v>
      </c>
      <c r="E6" s="6" t="s">
        <v>297</v>
      </c>
      <c r="F6" s="6" t="s">
        <v>298</v>
      </c>
      <c r="G6" s="6" t="s">
        <v>299</v>
      </c>
      <c r="H6" s="6" t="s">
        <v>300</v>
      </c>
      <c r="I6" s="6" t="s">
        <v>301</v>
      </c>
    </row>
    <row r="7" customFormat="false" ht="15" hidden="false" customHeight="true" outlineLevel="0" collapsed="false">
      <c r="A7" s="5" t="s">
        <v>302</v>
      </c>
      <c r="B7" s="6" t="s">
        <v>303</v>
      </c>
      <c r="C7" s="6" t="s">
        <v>304</v>
      </c>
      <c r="D7" s="6" t="s">
        <v>305</v>
      </c>
      <c r="E7" s="6" t="s">
        <v>306</v>
      </c>
      <c r="F7" s="6" t="s">
        <v>307</v>
      </c>
      <c r="G7" s="6" t="s">
        <v>308</v>
      </c>
      <c r="H7" s="6" t="s">
        <v>300</v>
      </c>
      <c r="I7" s="6" t="s">
        <v>301</v>
      </c>
    </row>
    <row r="8" customFormat="false" ht="15" hidden="false" customHeight="true" outlineLevel="0" collapsed="false">
      <c r="A8" s="5" t="s">
        <v>309</v>
      </c>
      <c r="B8" s="6" t="s">
        <v>310</v>
      </c>
      <c r="C8" s="6" t="s">
        <v>311</v>
      </c>
      <c r="D8" s="6" t="s">
        <v>312</v>
      </c>
      <c r="E8" s="6" t="s">
        <v>313</v>
      </c>
      <c r="F8" s="6" t="s">
        <v>314</v>
      </c>
      <c r="G8" s="6" t="s">
        <v>315</v>
      </c>
      <c r="H8" s="6" t="s">
        <v>300</v>
      </c>
      <c r="I8" s="6" t="s">
        <v>301</v>
      </c>
    </row>
    <row r="9" customFormat="false" ht="27.75" hidden="false" customHeight="true" outlineLevel="0" collapsed="false">
      <c r="A9" s="5" t="s">
        <v>316</v>
      </c>
      <c r="B9" s="6" t="s">
        <v>317</v>
      </c>
      <c r="C9" s="6" t="s">
        <v>287</v>
      </c>
      <c r="D9" s="6" t="s">
        <v>318</v>
      </c>
      <c r="E9" s="6" t="s">
        <v>319</v>
      </c>
      <c r="F9" s="6" t="s">
        <v>320</v>
      </c>
      <c r="G9" s="6" t="s">
        <v>321</v>
      </c>
      <c r="H9" s="6" t="s">
        <v>322</v>
      </c>
      <c r="I9" s="6" t="s">
        <v>323</v>
      </c>
    </row>
    <row r="10" customFormat="false" ht="15" hidden="false" customHeight="true" outlineLevel="0" collapsed="false">
      <c r="A10" s="5" t="s">
        <v>324</v>
      </c>
      <c r="B10" s="6" t="s">
        <v>325</v>
      </c>
      <c r="C10" s="6" t="s">
        <v>326</v>
      </c>
      <c r="D10" s="6" t="s">
        <v>327</v>
      </c>
      <c r="E10" s="6" t="s">
        <v>158</v>
      </c>
      <c r="F10" s="6" t="s">
        <v>158</v>
      </c>
      <c r="G10" s="6" t="s">
        <v>327</v>
      </c>
      <c r="H10" s="6" t="s">
        <v>328</v>
      </c>
      <c r="I10" s="6" t="s">
        <v>329</v>
      </c>
    </row>
    <row r="11" customFormat="false" ht="15" hidden="false" customHeight="true" outlineLevel="0" collapsed="false">
      <c r="A11" s="5" t="s">
        <v>330</v>
      </c>
      <c r="B11" s="6" t="s">
        <v>331</v>
      </c>
      <c r="C11" s="6" t="s">
        <v>326</v>
      </c>
      <c r="D11" s="6" t="s">
        <v>332</v>
      </c>
      <c r="E11" s="6" t="s">
        <v>158</v>
      </c>
      <c r="F11" s="6" t="s">
        <v>158</v>
      </c>
      <c r="G11" s="6" t="s">
        <v>332</v>
      </c>
      <c r="H11" s="6" t="s">
        <v>82</v>
      </c>
      <c r="I11" s="6" t="s">
        <v>329</v>
      </c>
    </row>
    <row r="12" customFormat="false" ht="27.75" hidden="false" customHeight="true" outlineLevel="0" collapsed="false">
      <c r="A12" s="5" t="s">
        <v>5</v>
      </c>
      <c r="B12" s="6" t="s">
        <v>333</v>
      </c>
      <c r="C12" s="6" t="s">
        <v>334</v>
      </c>
      <c r="D12" s="6" t="s">
        <v>28</v>
      </c>
      <c r="E12" s="6" t="s">
        <v>335</v>
      </c>
      <c r="F12" s="6" t="s">
        <v>336</v>
      </c>
      <c r="G12" s="6" t="s">
        <v>28</v>
      </c>
      <c r="H12" s="6" t="s">
        <v>79</v>
      </c>
      <c r="I12" s="6" t="s">
        <v>337</v>
      </c>
    </row>
    <row r="13" customFormat="false" ht="15" hidden="false" customHeight="true" outlineLevel="0" collapsed="false">
      <c r="A13" s="5" t="s">
        <v>338</v>
      </c>
      <c r="B13" s="6" t="s">
        <v>339</v>
      </c>
      <c r="C13" s="6" t="s">
        <v>340</v>
      </c>
      <c r="D13" s="6" t="s">
        <v>341</v>
      </c>
      <c r="E13" s="6" t="s">
        <v>342</v>
      </c>
      <c r="F13" s="6" t="s">
        <v>341</v>
      </c>
      <c r="G13" s="6" t="s">
        <v>341</v>
      </c>
      <c r="H13" s="6" t="s">
        <v>80</v>
      </c>
      <c r="I13" s="6" t="s">
        <v>343</v>
      </c>
    </row>
    <row r="14" customFormat="false" ht="15" hidden="false" customHeight="true" outlineLevel="0" collapsed="false">
      <c r="A14" s="5" t="s">
        <v>344</v>
      </c>
      <c r="B14" s="6" t="s">
        <v>345</v>
      </c>
      <c r="C14" s="6" t="s">
        <v>346</v>
      </c>
      <c r="D14" s="6" t="s">
        <v>347</v>
      </c>
      <c r="E14" s="6" t="s">
        <v>348</v>
      </c>
      <c r="F14" s="6" t="s">
        <v>158</v>
      </c>
      <c r="G14" s="6" t="s">
        <v>347</v>
      </c>
      <c r="H14" s="6" t="s">
        <v>82</v>
      </c>
      <c r="I14" s="6" t="s">
        <v>349</v>
      </c>
    </row>
    <row r="15" customFormat="false" ht="15" hidden="false" customHeight="true" outlineLevel="0" collapsed="false">
      <c r="A15" s="5" t="s">
        <v>350</v>
      </c>
      <c r="B15" s="6" t="s">
        <v>351</v>
      </c>
      <c r="C15" s="6" t="s">
        <v>352</v>
      </c>
      <c r="D15" s="6" t="s">
        <v>353</v>
      </c>
      <c r="E15" s="6" t="s">
        <v>158</v>
      </c>
      <c r="F15" s="6" t="s">
        <v>354</v>
      </c>
      <c r="G15" s="6" t="s">
        <v>353</v>
      </c>
      <c r="H15" s="6" t="s">
        <v>82</v>
      </c>
      <c r="I15" s="6" t="s">
        <v>355</v>
      </c>
    </row>
    <row r="16" customFormat="false" ht="15" hidden="false" customHeight="true" outlineLevel="0" collapsed="false">
      <c r="A16" s="5" t="s">
        <v>8</v>
      </c>
      <c r="B16" s="6" t="s">
        <v>356</v>
      </c>
      <c r="C16" s="6" t="s">
        <v>357</v>
      </c>
      <c r="D16" s="6" t="s">
        <v>31</v>
      </c>
      <c r="E16" s="6" t="s">
        <v>158</v>
      </c>
      <c r="F16" s="6" t="s">
        <v>158</v>
      </c>
      <c r="G16" s="6" t="s">
        <v>31</v>
      </c>
      <c r="H16" s="6" t="s">
        <v>82</v>
      </c>
      <c r="I16" s="6" t="s">
        <v>358</v>
      </c>
    </row>
    <row r="17" customFormat="false" ht="27.75" hidden="false" customHeight="true" outlineLevel="0" collapsed="false">
      <c r="A17" s="5" t="s">
        <v>359</v>
      </c>
      <c r="B17" s="6" t="s">
        <v>360</v>
      </c>
      <c r="C17" s="6" t="s">
        <v>361</v>
      </c>
      <c r="D17" s="6" t="s">
        <v>362</v>
      </c>
      <c r="E17" s="6" t="s">
        <v>158</v>
      </c>
      <c r="F17" s="6" t="s">
        <v>314</v>
      </c>
      <c r="G17" s="6" t="s">
        <v>363</v>
      </c>
      <c r="H17" s="6" t="s">
        <v>364</v>
      </c>
      <c r="I17" s="6" t="s">
        <v>365</v>
      </c>
    </row>
    <row r="20" customFormat="false" ht="17.25" hidden="false" customHeight="true" outlineLevel="0" collapsed="false">
      <c r="A20" s="10" t="s">
        <v>366</v>
      </c>
      <c r="B20" s="10"/>
      <c r="C20" s="10"/>
      <c r="D20" s="10"/>
      <c r="E20" s="10"/>
      <c r="F20" s="10"/>
      <c r="G20" s="10"/>
      <c r="H20" s="10"/>
      <c r="I20" s="10"/>
    </row>
    <row r="22" customFormat="false" ht="15" hidden="false" customHeight="true" outlineLevel="0" collapsed="false">
      <c r="A22" s="4" t="s">
        <v>367</v>
      </c>
      <c r="B22" s="4" t="s">
        <v>231</v>
      </c>
      <c r="C22" s="4" t="s">
        <v>368</v>
      </c>
      <c r="D22" s="4" t="s">
        <v>369</v>
      </c>
      <c r="E22" s="4" t="s">
        <v>370</v>
      </c>
      <c r="F22" s="4" t="s">
        <v>371</v>
      </c>
      <c r="G22" s="4" t="s">
        <v>235</v>
      </c>
    </row>
    <row r="23" customFormat="false" ht="41.25" hidden="false" customHeight="true" outlineLevel="0" collapsed="false">
      <c r="A23" s="5" t="s">
        <v>372</v>
      </c>
      <c r="B23" s="6" t="s">
        <v>373</v>
      </c>
      <c r="C23" s="6" t="s">
        <v>374</v>
      </c>
      <c r="D23" s="6" t="s">
        <v>375</v>
      </c>
      <c r="E23" s="6" t="s">
        <v>376</v>
      </c>
      <c r="F23" s="6" t="s">
        <v>377</v>
      </c>
      <c r="G23" s="6" t="s">
        <v>378</v>
      </c>
    </row>
    <row r="24" customFormat="false" ht="27.75" hidden="false" customHeight="true" outlineLevel="0" collapsed="false">
      <c r="A24" s="5" t="s">
        <v>379</v>
      </c>
      <c r="B24" s="6" t="s">
        <v>380</v>
      </c>
      <c r="C24" s="6" t="s">
        <v>381</v>
      </c>
      <c r="D24" s="6" t="s">
        <v>382</v>
      </c>
      <c r="E24" s="6" t="s">
        <v>383</v>
      </c>
      <c r="F24" s="6" t="s">
        <v>384</v>
      </c>
      <c r="G24" s="6" t="s">
        <v>385</v>
      </c>
    </row>
    <row r="25" customFormat="false" ht="27.75" hidden="false" customHeight="true" outlineLevel="0" collapsed="false">
      <c r="A25" s="5" t="s">
        <v>386</v>
      </c>
      <c r="B25" s="6" t="s">
        <v>380</v>
      </c>
      <c r="C25" s="6" t="s">
        <v>387</v>
      </c>
      <c r="D25" s="6" t="s">
        <v>388</v>
      </c>
      <c r="E25" s="6" t="s">
        <v>389</v>
      </c>
      <c r="F25" s="6" t="s">
        <v>390</v>
      </c>
      <c r="G25" s="6" t="s">
        <v>391</v>
      </c>
    </row>
    <row r="26" customFormat="false" ht="41.25" hidden="false" customHeight="true" outlineLevel="0" collapsed="false">
      <c r="A26" s="5" t="s">
        <v>392</v>
      </c>
      <c r="B26" s="6" t="s">
        <v>393</v>
      </c>
      <c r="C26" s="6" t="s">
        <v>394</v>
      </c>
      <c r="D26" s="6" t="s">
        <v>395</v>
      </c>
      <c r="E26" s="6" t="s">
        <v>396</v>
      </c>
      <c r="F26" s="6" t="s">
        <v>397</v>
      </c>
      <c r="G26" s="6" t="s">
        <v>398</v>
      </c>
    </row>
    <row r="27" customFormat="false" ht="27.75" hidden="false" customHeight="true" outlineLevel="0" collapsed="false">
      <c r="A27" s="5" t="s">
        <v>399</v>
      </c>
      <c r="B27" s="6" t="s">
        <v>400</v>
      </c>
      <c r="C27" s="6" t="s">
        <v>401</v>
      </c>
      <c r="D27" s="6" t="s">
        <v>402</v>
      </c>
      <c r="E27" s="6" t="s">
        <v>403</v>
      </c>
      <c r="F27" s="6" t="s">
        <v>404</v>
      </c>
      <c r="G27" s="6" t="s">
        <v>405</v>
      </c>
    </row>
    <row r="28" customFormat="false" ht="27.75" hidden="false" customHeight="true" outlineLevel="0" collapsed="false">
      <c r="A28" s="5" t="s">
        <v>406</v>
      </c>
      <c r="B28" s="6" t="s">
        <v>407</v>
      </c>
      <c r="C28" s="6" t="s">
        <v>408</v>
      </c>
      <c r="D28" s="6" t="s">
        <v>409</v>
      </c>
      <c r="E28" s="6" t="s">
        <v>410</v>
      </c>
      <c r="F28" s="6" t="s">
        <v>411</v>
      </c>
      <c r="G28" s="6" t="s">
        <v>412</v>
      </c>
    </row>
    <row r="29" customFormat="false" ht="27.75" hidden="false" customHeight="true" outlineLevel="0" collapsed="false">
      <c r="A29" s="5" t="s">
        <v>413</v>
      </c>
      <c r="B29" s="6" t="s">
        <v>414</v>
      </c>
      <c r="C29" s="6" t="s">
        <v>387</v>
      </c>
      <c r="D29" s="6" t="s">
        <v>415</v>
      </c>
      <c r="E29" s="6" t="s">
        <v>389</v>
      </c>
      <c r="F29" s="6" t="s">
        <v>416</v>
      </c>
      <c r="G29" s="6" t="s">
        <v>417</v>
      </c>
    </row>
  </sheetData>
  <mergeCells count="3">
    <mergeCell ref="A1:J1"/>
    <mergeCell ref="A2:J2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4454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6"/>
  </cols>
  <sheetData>
    <row r="1" customFormat="false" ht="19.5" hidden="false" customHeight="true" outlineLevel="0" collapsed="false">
      <c r="A1" s="2" t="s">
        <v>418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419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420</v>
      </c>
      <c r="B4" s="4" t="s">
        <v>421</v>
      </c>
      <c r="C4" s="4" t="s">
        <v>422</v>
      </c>
      <c r="D4" s="4" t="s">
        <v>61</v>
      </c>
      <c r="E4" s="4" t="s">
        <v>423</v>
      </c>
      <c r="F4" s="4" t="s">
        <v>424</v>
      </c>
      <c r="G4" s="4" t="s">
        <v>425</v>
      </c>
      <c r="H4" s="4" t="s">
        <v>426</v>
      </c>
      <c r="I4" s="4" t="s">
        <v>427</v>
      </c>
    </row>
    <row r="5" customFormat="false" ht="27.75" hidden="false" customHeight="true" outlineLevel="0" collapsed="false">
      <c r="A5" s="5" t="s">
        <v>428</v>
      </c>
      <c r="B5" s="6" t="s">
        <v>429</v>
      </c>
      <c r="C5" s="6" t="s">
        <v>430</v>
      </c>
      <c r="D5" s="6" t="s">
        <v>68</v>
      </c>
      <c r="E5" s="6" t="s">
        <v>65</v>
      </c>
      <c r="F5" s="6" t="s">
        <v>68</v>
      </c>
      <c r="G5" s="6" t="s">
        <v>68</v>
      </c>
      <c r="H5" s="6" t="s">
        <v>65</v>
      </c>
      <c r="I5" s="11" t="s">
        <v>431</v>
      </c>
    </row>
    <row r="6" customFormat="false" ht="27.75" hidden="false" customHeight="true" outlineLevel="0" collapsed="false">
      <c r="A6" s="5" t="s">
        <v>432</v>
      </c>
      <c r="B6" s="6" t="s">
        <v>433</v>
      </c>
      <c r="C6" s="6" t="s">
        <v>434</v>
      </c>
      <c r="D6" s="6" t="s">
        <v>65</v>
      </c>
      <c r="E6" s="6" t="s">
        <v>65</v>
      </c>
      <c r="F6" s="6" t="s">
        <v>65</v>
      </c>
      <c r="G6" s="6" t="s">
        <v>65</v>
      </c>
      <c r="H6" s="6" t="s">
        <v>65</v>
      </c>
      <c r="I6" s="12" t="s">
        <v>435</v>
      </c>
    </row>
    <row r="7" customFormat="false" ht="27.75" hidden="false" customHeight="true" outlineLevel="0" collapsed="false">
      <c r="A7" s="5" t="s">
        <v>436</v>
      </c>
      <c r="B7" s="6" t="s">
        <v>437</v>
      </c>
      <c r="C7" s="6" t="s">
        <v>438</v>
      </c>
      <c r="D7" s="6" t="s">
        <v>63</v>
      </c>
      <c r="E7" s="6" t="s">
        <v>65</v>
      </c>
      <c r="F7" s="6" t="s">
        <v>68</v>
      </c>
      <c r="G7" s="6" t="s">
        <v>68</v>
      </c>
      <c r="H7" s="6" t="s">
        <v>65</v>
      </c>
      <c r="I7" s="13" t="s">
        <v>439</v>
      </c>
    </row>
    <row r="8" customFormat="false" ht="15" hidden="false" customHeight="true" outlineLevel="0" collapsed="false">
      <c r="A8" s="5" t="s">
        <v>440</v>
      </c>
      <c r="B8" s="6" t="s">
        <v>441</v>
      </c>
      <c r="C8" s="6" t="s">
        <v>438</v>
      </c>
      <c r="D8" s="6" t="s">
        <v>65</v>
      </c>
      <c r="E8" s="6" t="s">
        <v>65</v>
      </c>
      <c r="F8" s="6" t="s">
        <v>68</v>
      </c>
      <c r="G8" s="6" t="s">
        <v>68</v>
      </c>
      <c r="H8" s="6" t="s">
        <v>65</v>
      </c>
      <c r="I8" s="13" t="s">
        <v>439</v>
      </c>
    </row>
    <row r="9" customFormat="false" ht="15" hidden="false" customHeight="true" outlineLevel="0" collapsed="false">
      <c r="A9" s="5" t="s">
        <v>350</v>
      </c>
      <c r="B9" s="6" t="s">
        <v>442</v>
      </c>
      <c r="C9" s="6" t="s">
        <v>443</v>
      </c>
      <c r="D9" s="6" t="s">
        <v>59</v>
      </c>
      <c r="E9" s="6" t="s">
        <v>68</v>
      </c>
      <c r="F9" s="6" t="s">
        <v>68</v>
      </c>
      <c r="G9" s="6" t="s">
        <v>68</v>
      </c>
      <c r="H9" s="6" t="s">
        <v>65</v>
      </c>
      <c r="I9" s="14" t="s">
        <v>444</v>
      </c>
    </row>
    <row r="10" customFormat="false" ht="15" hidden="false" customHeight="true" outlineLevel="0" collapsed="false">
      <c r="A10" s="5" t="s">
        <v>445</v>
      </c>
      <c r="B10" s="6" t="s">
        <v>446</v>
      </c>
      <c r="C10" s="6" t="s">
        <v>447</v>
      </c>
      <c r="D10" s="6" t="s">
        <v>64</v>
      </c>
      <c r="E10" s="6" t="s">
        <v>65</v>
      </c>
      <c r="F10" s="6" t="s">
        <v>448</v>
      </c>
      <c r="G10" s="6" t="s">
        <v>449</v>
      </c>
      <c r="H10" s="6" t="s">
        <v>65</v>
      </c>
      <c r="I10" s="14" t="s">
        <v>450</v>
      </c>
    </row>
    <row r="11" customFormat="false" ht="15" hidden="false" customHeight="true" outlineLevel="0" collapsed="false">
      <c r="A11" s="5" t="s">
        <v>451</v>
      </c>
      <c r="B11" s="6" t="s">
        <v>452</v>
      </c>
      <c r="C11" s="6" t="s">
        <v>453</v>
      </c>
      <c r="D11" s="6" t="s">
        <v>65</v>
      </c>
      <c r="E11" s="6" t="s">
        <v>65</v>
      </c>
      <c r="F11" s="6" t="s">
        <v>68</v>
      </c>
      <c r="G11" s="6" t="s">
        <v>454</v>
      </c>
      <c r="H11" s="6" t="s">
        <v>65</v>
      </c>
      <c r="I11" s="13" t="s">
        <v>455</v>
      </c>
    </row>
    <row r="12" customFormat="false" ht="15" hidden="false" customHeight="true" outlineLevel="0" collapsed="false">
      <c r="A12" s="5" t="s">
        <v>8</v>
      </c>
      <c r="B12" s="6" t="s">
        <v>456</v>
      </c>
      <c r="C12" s="6" t="s">
        <v>457</v>
      </c>
      <c r="D12" s="6" t="s">
        <v>66</v>
      </c>
      <c r="E12" s="6" t="s">
        <v>66</v>
      </c>
      <c r="F12" s="6" t="s">
        <v>458</v>
      </c>
      <c r="G12" s="6" t="s">
        <v>449</v>
      </c>
      <c r="H12" s="6" t="s">
        <v>66</v>
      </c>
      <c r="I12" s="15" t="s">
        <v>459</v>
      </c>
    </row>
    <row r="13" customFormat="false" ht="15" hidden="false" customHeight="true" outlineLevel="0" collapsed="false">
      <c r="A13" s="5" t="s">
        <v>9</v>
      </c>
      <c r="B13" s="6" t="s">
        <v>458</v>
      </c>
      <c r="C13" s="6" t="s">
        <v>460</v>
      </c>
      <c r="D13" s="6" t="s">
        <v>66</v>
      </c>
      <c r="E13" s="6" t="s">
        <v>66</v>
      </c>
      <c r="F13" s="6" t="s">
        <v>458</v>
      </c>
      <c r="G13" s="6" t="s">
        <v>461</v>
      </c>
      <c r="H13" s="6" t="s">
        <v>66</v>
      </c>
      <c r="I13" s="15" t="s">
        <v>462</v>
      </c>
    </row>
    <row r="14" customFormat="false" ht="27.75" hidden="false" customHeight="true" outlineLevel="0" collapsed="false">
      <c r="A14" s="5" t="s">
        <v>463</v>
      </c>
      <c r="B14" s="6" t="s">
        <v>464</v>
      </c>
      <c r="C14" s="6" t="s">
        <v>66</v>
      </c>
      <c r="D14" s="6" t="s">
        <v>66</v>
      </c>
      <c r="E14" s="6" t="s">
        <v>68</v>
      </c>
      <c r="F14" s="6" t="s">
        <v>465</v>
      </c>
      <c r="G14" s="6" t="s">
        <v>466</v>
      </c>
      <c r="H14" s="6" t="s">
        <v>68</v>
      </c>
      <c r="I14" s="11" t="s">
        <v>467</v>
      </c>
    </row>
    <row r="17" customFormat="false" ht="17.25" hidden="false" customHeight="true" outlineLevel="0" collapsed="false">
      <c r="A17" s="10" t="s">
        <v>468</v>
      </c>
      <c r="B17" s="10"/>
      <c r="C17" s="10"/>
      <c r="D17" s="10"/>
      <c r="E17" s="10"/>
      <c r="F17" s="10"/>
      <c r="G17" s="10"/>
      <c r="H17" s="10"/>
      <c r="I17" s="10"/>
    </row>
    <row r="19" customFormat="false" ht="15" hidden="false" customHeight="true" outlineLevel="0" collapsed="false">
      <c r="A19" s="4" t="s">
        <v>469</v>
      </c>
      <c r="B19" s="4" t="s">
        <v>470</v>
      </c>
      <c r="C19" s="4" t="s">
        <v>471</v>
      </c>
      <c r="D19" s="4" t="s">
        <v>472</v>
      </c>
      <c r="E19" s="4" t="s">
        <v>473</v>
      </c>
      <c r="F19" s="4" t="s">
        <v>474</v>
      </c>
    </row>
    <row r="20" customFormat="false" ht="41.25" hidden="false" customHeight="true" outlineLevel="0" collapsed="false">
      <c r="A20" s="5" t="s">
        <v>54</v>
      </c>
      <c r="B20" s="6" t="s">
        <v>475</v>
      </c>
      <c r="C20" s="6" t="s">
        <v>476</v>
      </c>
      <c r="D20" s="6" t="s">
        <v>477</v>
      </c>
      <c r="E20" s="6" t="s">
        <v>478</v>
      </c>
      <c r="F20" s="6" t="s">
        <v>479</v>
      </c>
    </row>
    <row r="21" customFormat="false" ht="41.25" hidden="false" customHeight="true" outlineLevel="0" collapsed="false">
      <c r="A21" s="5" t="s">
        <v>480</v>
      </c>
      <c r="B21" s="6" t="s">
        <v>481</v>
      </c>
      <c r="C21" s="6" t="s">
        <v>482</v>
      </c>
      <c r="D21" s="6" t="s">
        <v>483</v>
      </c>
      <c r="E21" s="6" t="s">
        <v>484</v>
      </c>
      <c r="F21" s="6" t="s">
        <v>485</v>
      </c>
    </row>
    <row r="22" customFormat="false" ht="27.75" hidden="false" customHeight="true" outlineLevel="0" collapsed="false">
      <c r="A22" s="5" t="s">
        <v>61</v>
      </c>
      <c r="B22" s="6" t="s">
        <v>486</v>
      </c>
      <c r="C22" s="6" t="s">
        <v>487</v>
      </c>
      <c r="D22" s="6" t="s">
        <v>488</v>
      </c>
      <c r="E22" s="6" t="s">
        <v>489</v>
      </c>
      <c r="F22" s="6" t="s">
        <v>490</v>
      </c>
    </row>
    <row r="23" customFormat="false" ht="41.25" hidden="false" customHeight="true" outlineLevel="0" collapsed="false">
      <c r="A23" s="5" t="s">
        <v>491</v>
      </c>
      <c r="B23" s="6" t="s">
        <v>492</v>
      </c>
      <c r="C23" s="6" t="s">
        <v>493</v>
      </c>
      <c r="D23" s="6" t="s">
        <v>494</v>
      </c>
      <c r="E23" s="6" t="s">
        <v>495</v>
      </c>
      <c r="F23" s="6" t="s">
        <v>496</v>
      </c>
    </row>
    <row r="24" customFormat="false" ht="27.75" hidden="false" customHeight="true" outlineLevel="0" collapsed="false">
      <c r="A24" s="5" t="s">
        <v>497</v>
      </c>
      <c r="B24" s="6" t="s">
        <v>498</v>
      </c>
      <c r="C24" s="6" t="s">
        <v>499</v>
      </c>
      <c r="D24" s="6" t="s">
        <v>500</v>
      </c>
      <c r="E24" s="6" t="s">
        <v>501</v>
      </c>
      <c r="F24" s="6" t="s">
        <v>502</v>
      </c>
    </row>
    <row r="25" customFormat="false" ht="27.75" hidden="false" customHeight="true" outlineLevel="0" collapsed="false">
      <c r="A25" s="5" t="s">
        <v>503</v>
      </c>
      <c r="B25" s="6" t="s">
        <v>504</v>
      </c>
      <c r="C25" s="6" t="s">
        <v>505</v>
      </c>
      <c r="D25" s="6" t="s">
        <v>506</v>
      </c>
      <c r="E25" s="6" t="s">
        <v>507</v>
      </c>
      <c r="F25" s="6" t="s">
        <v>508</v>
      </c>
    </row>
    <row r="26" customFormat="false" ht="27.75" hidden="false" customHeight="true" outlineLevel="0" collapsed="false">
      <c r="A26" s="5" t="s">
        <v>509</v>
      </c>
      <c r="B26" s="6" t="s">
        <v>510</v>
      </c>
      <c r="C26" s="6" t="s">
        <v>511</v>
      </c>
      <c r="D26" s="6" t="s">
        <v>512</v>
      </c>
      <c r="E26" s="6" t="s">
        <v>513</v>
      </c>
      <c r="F26" s="6" t="s">
        <v>514</v>
      </c>
    </row>
    <row r="27" customFormat="false" ht="27.75" hidden="false" customHeight="true" outlineLevel="0" collapsed="false">
      <c r="A27" s="5" t="s">
        <v>426</v>
      </c>
      <c r="B27" s="6" t="s">
        <v>515</v>
      </c>
      <c r="C27" s="6" t="s">
        <v>516</v>
      </c>
      <c r="D27" s="6" t="s">
        <v>517</v>
      </c>
      <c r="E27" s="6" t="s">
        <v>518</v>
      </c>
      <c r="F27" s="6" t="s">
        <v>519</v>
      </c>
    </row>
  </sheetData>
  <mergeCells count="3">
    <mergeCell ref="A1:J1"/>
    <mergeCell ref="A2:J2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553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9.5" hidden="false" customHeight="true" outlineLevel="0" collapsed="false">
      <c r="A1" s="2" t="s">
        <v>520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521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522</v>
      </c>
      <c r="B4" s="4" t="s">
        <v>523</v>
      </c>
      <c r="C4" s="4" t="s">
        <v>524</v>
      </c>
      <c r="D4" s="4" t="s">
        <v>525</v>
      </c>
      <c r="E4" s="4" t="s">
        <v>526</v>
      </c>
      <c r="F4" s="4" t="s">
        <v>527</v>
      </c>
      <c r="G4" s="4" t="s">
        <v>528</v>
      </c>
      <c r="H4" s="4" t="s">
        <v>529</v>
      </c>
    </row>
    <row r="5" customFormat="false" ht="15" hidden="false" customHeight="true" outlineLevel="0" collapsed="false">
      <c r="A5" s="5" t="s">
        <v>530</v>
      </c>
      <c r="B5" s="6" t="s">
        <v>201</v>
      </c>
      <c r="C5" s="6" t="s">
        <v>531</v>
      </c>
      <c r="D5" s="6" t="s">
        <v>532</v>
      </c>
      <c r="E5" s="6" t="s">
        <v>533</v>
      </c>
      <c r="F5" s="6" t="s">
        <v>534</v>
      </c>
      <c r="G5" s="6" t="s">
        <v>535</v>
      </c>
      <c r="H5" s="6" t="s">
        <v>37</v>
      </c>
    </row>
    <row r="6" customFormat="false" ht="15" hidden="false" customHeight="true" outlineLevel="0" collapsed="false">
      <c r="A6" s="5" t="s">
        <v>536</v>
      </c>
      <c r="B6" s="6" t="s">
        <v>209</v>
      </c>
      <c r="C6" s="6" t="s">
        <v>537</v>
      </c>
      <c r="D6" s="6" t="s">
        <v>538</v>
      </c>
      <c r="E6" s="6" t="s">
        <v>539</v>
      </c>
      <c r="F6" s="6" t="s">
        <v>540</v>
      </c>
      <c r="G6" s="6" t="s">
        <v>541</v>
      </c>
      <c r="H6" s="6" t="s">
        <v>542</v>
      </c>
    </row>
    <row r="7" customFormat="false" ht="15" hidden="false" customHeight="true" outlineLevel="0" collapsed="false">
      <c r="A7" s="5" t="s">
        <v>543</v>
      </c>
      <c r="B7" s="6" t="s">
        <v>217</v>
      </c>
      <c r="C7" s="6" t="s">
        <v>544</v>
      </c>
      <c r="D7" s="6" t="s">
        <v>545</v>
      </c>
      <c r="E7" s="6" t="s">
        <v>297</v>
      </c>
      <c r="F7" s="6" t="s">
        <v>546</v>
      </c>
      <c r="G7" s="6" t="s">
        <v>547</v>
      </c>
      <c r="H7" s="6" t="s">
        <v>548</v>
      </c>
    </row>
    <row r="8" customFormat="false" ht="15" hidden="false" customHeight="true" outlineLevel="0" collapsed="false">
      <c r="A8" s="5" t="s">
        <v>549</v>
      </c>
      <c r="B8" s="6" t="s">
        <v>550</v>
      </c>
      <c r="C8" s="6" t="s">
        <v>551</v>
      </c>
      <c r="D8" s="6" t="s">
        <v>552</v>
      </c>
      <c r="E8" s="6" t="s">
        <v>539</v>
      </c>
      <c r="F8" s="6" t="s">
        <v>553</v>
      </c>
      <c r="G8" s="6" t="s">
        <v>554</v>
      </c>
      <c r="H8" s="6" t="s">
        <v>555</v>
      </c>
    </row>
    <row r="9" customFormat="false" ht="15" hidden="false" customHeight="true" outlineLevel="0" collapsed="false">
      <c r="A9" s="5" t="s">
        <v>324</v>
      </c>
      <c r="B9" s="6" t="s">
        <v>556</v>
      </c>
      <c r="C9" s="6" t="s">
        <v>557</v>
      </c>
      <c r="D9" s="6" t="s">
        <v>558</v>
      </c>
      <c r="E9" s="6" t="s">
        <v>559</v>
      </c>
      <c r="F9" s="6" t="s">
        <v>560</v>
      </c>
      <c r="G9" s="6" t="s">
        <v>561</v>
      </c>
      <c r="H9" s="6" t="s">
        <v>562</v>
      </c>
    </row>
    <row r="10" customFormat="false" ht="15" hidden="false" customHeight="true" outlineLevel="0" collapsed="false">
      <c r="A10" s="5" t="s">
        <v>330</v>
      </c>
      <c r="B10" s="6" t="s">
        <v>556</v>
      </c>
      <c r="C10" s="6" t="s">
        <v>557</v>
      </c>
      <c r="D10" s="6" t="s">
        <v>563</v>
      </c>
      <c r="E10" s="6" t="s">
        <v>564</v>
      </c>
      <c r="F10" s="6" t="s">
        <v>560</v>
      </c>
      <c r="G10" s="6" t="s">
        <v>565</v>
      </c>
      <c r="H10" s="6" t="s">
        <v>562</v>
      </c>
    </row>
    <row r="11" customFormat="false" ht="15" hidden="false" customHeight="true" outlineLevel="0" collapsed="false">
      <c r="A11" s="5" t="s">
        <v>5</v>
      </c>
      <c r="B11" s="6" t="s">
        <v>566</v>
      </c>
      <c r="C11" s="6" t="s">
        <v>567</v>
      </c>
      <c r="D11" s="6" t="s">
        <v>568</v>
      </c>
      <c r="E11" s="6" t="s">
        <v>28</v>
      </c>
      <c r="F11" s="6" t="s">
        <v>556</v>
      </c>
      <c r="G11" s="6" t="s">
        <v>561</v>
      </c>
      <c r="H11" s="6" t="s">
        <v>35</v>
      </c>
    </row>
    <row r="12" customFormat="false" ht="27.75" hidden="false" customHeight="true" outlineLevel="0" collapsed="false">
      <c r="A12" s="5" t="s">
        <v>6</v>
      </c>
      <c r="B12" s="6" t="s">
        <v>43</v>
      </c>
      <c r="C12" s="6" t="s">
        <v>569</v>
      </c>
      <c r="D12" s="6" t="s">
        <v>558</v>
      </c>
      <c r="E12" s="6" t="s">
        <v>341</v>
      </c>
      <c r="F12" s="6" t="s">
        <v>570</v>
      </c>
      <c r="G12" s="6" t="s">
        <v>541</v>
      </c>
      <c r="H12" s="6" t="s">
        <v>36</v>
      </c>
    </row>
    <row r="13" customFormat="false" ht="15" hidden="false" customHeight="true" outlineLevel="0" collapsed="false">
      <c r="A13" s="5" t="s">
        <v>350</v>
      </c>
      <c r="B13" s="6" t="s">
        <v>44</v>
      </c>
      <c r="C13" s="6" t="s">
        <v>567</v>
      </c>
      <c r="D13" s="6" t="s">
        <v>571</v>
      </c>
      <c r="E13" s="6" t="s">
        <v>353</v>
      </c>
      <c r="F13" s="6" t="s">
        <v>572</v>
      </c>
      <c r="G13" s="6" t="s">
        <v>547</v>
      </c>
      <c r="H13" s="6" t="s">
        <v>37</v>
      </c>
    </row>
    <row r="14" customFormat="false" ht="15" hidden="false" customHeight="true" outlineLevel="0" collapsed="false">
      <c r="A14" s="5" t="s">
        <v>573</v>
      </c>
      <c r="B14" s="6" t="s">
        <v>556</v>
      </c>
      <c r="C14" s="6" t="s">
        <v>158</v>
      </c>
      <c r="D14" s="6" t="s">
        <v>574</v>
      </c>
      <c r="E14" s="6" t="s">
        <v>31</v>
      </c>
      <c r="F14" s="6" t="s">
        <v>556</v>
      </c>
      <c r="G14" s="6" t="s">
        <v>567</v>
      </c>
      <c r="H14" s="6" t="s">
        <v>38</v>
      </c>
    </row>
    <row r="15" customFormat="false" ht="15" hidden="false" customHeight="true" outlineLevel="0" collapsed="false">
      <c r="A15" s="5" t="s">
        <v>575</v>
      </c>
      <c r="B15" s="6" t="s">
        <v>576</v>
      </c>
      <c r="C15" s="6" t="s">
        <v>577</v>
      </c>
      <c r="D15" s="6" t="s">
        <v>578</v>
      </c>
      <c r="E15" s="6" t="s">
        <v>31</v>
      </c>
      <c r="F15" s="6" t="s">
        <v>579</v>
      </c>
      <c r="G15" s="6" t="s">
        <v>565</v>
      </c>
      <c r="H15" s="6" t="s">
        <v>38</v>
      </c>
    </row>
    <row r="16" customFormat="false" ht="15" hidden="false" customHeight="true" outlineLevel="0" collapsed="false">
      <c r="A16" s="5" t="s">
        <v>359</v>
      </c>
      <c r="B16" s="6" t="s">
        <v>580</v>
      </c>
      <c r="C16" s="6" t="s">
        <v>567</v>
      </c>
      <c r="D16" s="6" t="s">
        <v>581</v>
      </c>
      <c r="E16" s="6" t="s">
        <v>582</v>
      </c>
      <c r="F16" s="6" t="s">
        <v>583</v>
      </c>
      <c r="G16" s="6" t="s">
        <v>561</v>
      </c>
      <c r="H16" s="6" t="s">
        <v>36</v>
      </c>
    </row>
    <row r="17" customFormat="false" ht="15" hidden="false" customHeight="true" outlineLevel="0" collapsed="false">
      <c r="A17" s="5" t="s">
        <v>584</v>
      </c>
      <c r="B17" s="6" t="s">
        <v>159</v>
      </c>
      <c r="C17" s="6" t="s">
        <v>567</v>
      </c>
      <c r="D17" s="6" t="s">
        <v>581</v>
      </c>
      <c r="E17" s="6" t="s">
        <v>585</v>
      </c>
      <c r="F17" s="6" t="s">
        <v>586</v>
      </c>
      <c r="G17" s="6" t="s">
        <v>561</v>
      </c>
      <c r="H17" s="6" t="s">
        <v>36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9BB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6"/>
    <col collapsed="false" customWidth="true" hidden="false" outlineLevel="0" max="3" min="3" style="1" width="42"/>
    <col collapsed="false" customWidth="true" hidden="false" outlineLevel="0" max="4" min="4" style="1" width="34"/>
    <col collapsed="false" customWidth="true" hidden="false" outlineLevel="0" max="5" min="5" style="1" width="42"/>
  </cols>
  <sheetData>
    <row r="1" customFormat="false" ht="19.5" hidden="false" customHeight="true" outlineLevel="0" collapsed="false">
      <c r="A1" s="2" t="s">
        <v>587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588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589</v>
      </c>
      <c r="B4" s="4" t="s">
        <v>367</v>
      </c>
      <c r="C4" s="4" t="s">
        <v>590</v>
      </c>
      <c r="D4" s="4" t="s">
        <v>591</v>
      </c>
      <c r="E4" s="4" t="s">
        <v>120</v>
      </c>
    </row>
    <row r="5" customFormat="false" ht="27.75" hidden="false" customHeight="true" outlineLevel="0" collapsed="false">
      <c r="A5" s="5" t="s">
        <v>592</v>
      </c>
      <c r="B5" s="6" t="s">
        <v>593</v>
      </c>
      <c r="C5" s="6" t="s">
        <v>594</v>
      </c>
      <c r="D5" s="6" t="s">
        <v>595</v>
      </c>
      <c r="E5" s="6" t="s">
        <v>596</v>
      </c>
    </row>
    <row r="6" customFormat="false" ht="27.75" hidden="false" customHeight="true" outlineLevel="0" collapsed="false">
      <c r="A6" s="5" t="s">
        <v>597</v>
      </c>
      <c r="B6" s="6" t="s">
        <v>598</v>
      </c>
      <c r="C6" s="6" t="s">
        <v>599</v>
      </c>
      <c r="D6" s="6" t="s">
        <v>600</v>
      </c>
      <c r="E6" s="6" t="s">
        <v>601</v>
      </c>
    </row>
    <row r="7" customFormat="false" ht="27.75" hidden="false" customHeight="true" outlineLevel="0" collapsed="false">
      <c r="A7" s="5" t="s">
        <v>602</v>
      </c>
      <c r="B7" s="6" t="s">
        <v>603</v>
      </c>
      <c r="C7" s="6" t="s">
        <v>604</v>
      </c>
      <c r="D7" s="6" t="s">
        <v>605</v>
      </c>
      <c r="E7" s="6" t="s">
        <v>606</v>
      </c>
    </row>
    <row r="8" customFormat="false" ht="27.75" hidden="false" customHeight="true" outlineLevel="0" collapsed="false">
      <c r="A8" s="5" t="s">
        <v>607</v>
      </c>
      <c r="B8" s="6" t="s">
        <v>608</v>
      </c>
      <c r="C8" s="6" t="s">
        <v>609</v>
      </c>
      <c r="D8" s="6" t="s">
        <v>610</v>
      </c>
      <c r="E8" s="6" t="s">
        <v>611</v>
      </c>
    </row>
    <row r="9" customFormat="false" ht="15" hidden="false" customHeight="true" outlineLevel="0" collapsed="false">
      <c r="A9" s="5" t="s">
        <v>612</v>
      </c>
      <c r="B9" s="6" t="s">
        <v>613</v>
      </c>
      <c r="C9" s="6" t="s">
        <v>614</v>
      </c>
      <c r="D9" s="6" t="s">
        <v>615</v>
      </c>
      <c r="E9" s="6" t="s">
        <v>616</v>
      </c>
    </row>
    <row r="10" customFormat="false" ht="15" hidden="false" customHeight="true" outlineLevel="0" collapsed="false">
      <c r="A10" s="5" t="s">
        <v>617</v>
      </c>
      <c r="B10" s="6" t="s">
        <v>618</v>
      </c>
      <c r="C10" s="6" t="s">
        <v>619</v>
      </c>
      <c r="D10" s="6" t="s">
        <v>620</v>
      </c>
      <c r="E10" s="6" t="s">
        <v>621</v>
      </c>
    </row>
    <row r="11" customFormat="false" ht="15" hidden="false" customHeight="true" outlineLevel="0" collapsed="false">
      <c r="A11" s="5" t="s">
        <v>622</v>
      </c>
      <c r="B11" s="6" t="s">
        <v>623</v>
      </c>
      <c r="C11" s="6" t="s">
        <v>624</v>
      </c>
      <c r="D11" s="6" t="s">
        <v>605</v>
      </c>
      <c r="E11" s="6" t="s">
        <v>625</v>
      </c>
    </row>
    <row r="12" customFormat="false" ht="15" hidden="false" customHeight="true" outlineLevel="0" collapsed="false">
      <c r="A12" s="5" t="s">
        <v>626</v>
      </c>
      <c r="B12" s="6" t="s">
        <v>627</v>
      </c>
      <c r="C12" s="6" t="s">
        <v>628</v>
      </c>
      <c r="D12" s="6" t="s">
        <v>629</v>
      </c>
      <c r="E12" s="6" t="s">
        <v>630</v>
      </c>
    </row>
    <row r="15" customFormat="false" ht="17.25" hidden="false" customHeight="true" outlineLevel="0" collapsed="false">
      <c r="A15" s="10" t="s">
        <v>631</v>
      </c>
      <c r="B15" s="10"/>
      <c r="C15" s="10"/>
      <c r="D15" s="10"/>
      <c r="E15" s="10"/>
    </row>
    <row r="17" customFormat="false" ht="15" hidden="false" customHeight="true" outlineLevel="0" collapsed="false">
      <c r="A17" s="4" t="s">
        <v>632</v>
      </c>
      <c r="B17" s="4" t="s">
        <v>633</v>
      </c>
      <c r="C17" s="4" t="s">
        <v>634</v>
      </c>
      <c r="D17" s="4" t="s">
        <v>635</v>
      </c>
      <c r="E17" s="4" t="s">
        <v>636</v>
      </c>
    </row>
    <row r="18" customFormat="false" ht="15" hidden="false" customHeight="true" outlineLevel="0" collapsed="false">
      <c r="A18" s="5" t="s">
        <v>637</v>
      </c>
      <c r="B18" s="6" t="s">
        <v>638</v>
      </c>
      <c r="C18" s="6" t="s">
        <v>639</v>
      </c>
      <c r="D18" s="6" t="s">
        <v>640</v>
      </c>
      <c r="E18" s="6" t="s">
        <v>641</v>
      </c>
    </row>
    <row r="19" customFormat="false" ht="15" hidden="false" customHeight="true" outlineLevel="0" collapsed="false">
      <c r="A19" s="5" t="s">
        <v>642</v>
      </c>
      <c r="B19" s="6" t="s">
        <v>643</v>
      </c>
      <c r="C19" s="6" t="s">
        <v>639</v>
      </c>
      <c r="D19" s="6" t="s">
        <v>94</v>
      </c>
      <c r="E19" s="6" t="s">
        <v>644</v>
      </c>
    </row>
    <row r="20" customFormat="false" ht="15" hidden="false" customHeight="true" outlineLevel="0" collapsed="false">
      <c r="A20" s="5" t="s">
        <v>645</v>
      </c>
      <c r="B20" s="6" t="s">
        <v>646</v>
      </c>
      <c r="C20" s="6" t="s">
        <v>647</v>
      </c>
      <c r="D20" s="6" t="s">
        <v>94</v>
      </c>
      <c r="E20" s="6" t="s">
        <v>648</v>
      </c>
    </row>
    <row r="21" customFormat="false" ht="15" hidden="false" customHeight="true" outlineLevel="0" collapsed="false">
      <c r="A21" s="5" t="s">
        <v>649</v>
      </c>
      <c r="B21" s="6" t="s">
        <v>650</v>
      </c>
      <c r="C21" s="6" t="s">
        <v>651</v>
      </c>
      <c r="D21" s="6" t="s">
        <v>94</v>
      </c>
      <c r="E21" s="6" t="s">
        <v>401</v>
      </c>
    </row>
    <row r="22" customFormat="false" ht="15" hidden="false" customHeight="true" outlineLevel="0" collapsed="false">
      <c r="A22" s="5" t="s">
        <v>652</v>
      </c>
      <c r="B22" s="6" t="s">
        <v>653</v>
      </c>
      <c r="C22" s="6" t="s">
        <v>654</v>
      </c>
      <c r="D22" s="6" t="s">
        <v>94</v>
      </c>
      <c r="E22" s="6" t="s">
        <v>655</v>
      </c>
    </row>
  </sheetData>
  <mergeCells count="3">
    <mergeCell ref="A1:J1"/>
    <mergeCell ref="A2:J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7101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7" min="6" style="1" width="16"/>
  </cols>
  <sheetData>
    <row r="1" customFormat="false" ht="19.5" hidden="false" customHeight="true" outlineLevel="0" collapsed="false">
      <c r="A1" s="2" t="s">
        <v>656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657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658</v>
      </c>
      <c r="B4" s="4" t="s">
        <v>659</v>
      </c>
      <c r="C4" s="4" t="s">
        <v>660</v>
      </c>
      <c r="D4" s="4" t="s">
        <v>661</v>
      </c>
      <c r="E4" s="4" t="s">
        <v>662</v>
      </c>
      <c r="F4" s="4" t="s">
        <v>663</v>
      </c>
      <c r="G4" s="4" t="s">
        <v>664</v>
      </c>
    </row>
    <row r="5" customFormat="false" ht="15" hidden="false" customHeight="true" outlineLevel="0" collapsed="false">
      <c r="A5" s="5" t="s">
        <v>665</v>
      </c>
      <c r="B5" s="6" t="s">
        <v>666</v>
      </c>
      <c r="C5" s="6" t="s">
        <v>667</v>
      </c>
      <c r="D5" s="6" t="s">
        <v>401</v>
      </c>
      <c r="E5" s="6" t="s">
        <v>668</v>
      </c>
      <c r="F5" s="6" t="s">
        <v>669</v>
      </c>
      <c r="G5" s="6" t="s">
        <v>670</v>
      </c>
    </row>
    <row r="6" customFormat="false" ht="15" hidden="false" customHeight="true" outlineLevel="0" collapsed="false">
      <c r="A6" s="5" t="s">
        <v>671</v>
      </c>
      <c r="B6" s="6" t="s">
        <v>672</v>
      </c>
      <c r="C6" s="6" t="s">
        <v>673</v>
      </c>
      <c r="D6" s="6" t="s">
        <v>401</v>
      </c>
      <c r="E6" s="6" t="s">
        <v>674</v>
      </c>
      <c r="F6" s="6" t="s">
        <v>675</v>
      </c>
      <c r="G6" s="6" t="s">
        <v>670</v>
      </c>
    </row>
    <row r="7" customFormat="false" ht="15" hidden="false" customHeight="true" outlineLevel="0" collapsed="false">
      <c r="A7" s="5" t="s">
        <v>676</v>
      </c>
      <c r="B7" s="6" t="s">
        <v>677</v>
      </c>
      <c r="C7" s="6" t="s">
        <v>678</v>
      </c>
      <c r="D7" s="6" t="s">
        <v>401</v>
      </c>
      <c r="E7" s="6" t="s">
        <v>679</v>
      </c>
      <c r="F7" s="6" t="s">
        <v>401</v>
      </c>
      <c r="G7" s="6" t="s">
        <v>670</v>
      </c>
    </row>
    <row r="8" customFormat="false" ht="15" hidden="false" customHeight="true" outlineLevel="0" collapsed="false">
      <c r="A8" s="5" t="s">
        <v>680</v>
      </c>
      <c r="B8" s="6" t="s">
        <v>666</v>
      </c>
      <c r="C8" s="6" t="s">
        <v>681</v>
      </c>
      <c r="D8" s="6" t="s">
        <v>401</v>
      </c>
      <c r="E8" s="6" t="s">
        <v>682</v>
      </c>
      <c r="F8" s="6" t="s">
        <v>401</v>
      </c>
      <c r="G8" s="6" t="s">
        <v>683</v>
      </c>
    </row>
    <row r="9" customFormat="false" ht="15" hidden="false" customHeight="true" outlineLevel="0" collapsed="false">
      <c r="A9" s="5" t="s">
        <v>684</v>
      </c>
      <c r="B9" s="6" t="s">
        <v>672</v>
      </c>
      <c r="C9" s="6" t="s">
        <v>685</v>
      </c>
      <c r="D9" s="6" t="s">
        <v>94</v>
      </c>
      <c r="E9" s="6" t="s">
        <v>686</v>
      </c>
      <c r="F9" s="6" t="s">
        <v>401</v>
      </c>
      <c r="G9" s="6" t="s">
        <v>687</v>
      </c>
    </row>
    <row r="10" customFormat="false" ht="15" hidden="false" customHeight="true" outlineLevel="0" collapsed="false">
      <c r="A10" s="5" t="s">
        <v>688</v>
      </c>
      <c r="B10" s="6" t="s">
        <v>689</v>
      </c>
      <c r="C10" s="6" t="s">
        <v>690</v>
      </c>
      <c r="D10" s="6" t="s">
        <v>94</v>
      </c>
      <c r="E10" s="6" t="s">
        <v>691</v>
      </c>
      <c r="F10" s="6" t="s">
        <v>101</v>
      </c>
      <c r="G10" s="6" t="s">
        <v>692</v>
      </c>
    </row>
    <row r="11" customFormat="false" ht="15" hidden="false" customHeight="true" outlineLevel="0" collapsed="false">
      <c r="A11" s="5" t="s">
        <v>693</v>
      </c>
      <c r="B11" s="6" t="s">
        <v>694</v>
      </c>
      <c r="C11" s="6" t="s">
        <v>695</v>
      </c>
      <c r="D11" s="6" t="s">
        <v>401</v>
      </c>
      <c r="E11" s="6" t="s">
        <v>696</v>
      </c>
      <c r="F11" s="6" t="s">
        <v>401</v>
      </c>
      <c r="G11" s="6" t="s">
        <v>697</v>
      </c>
    </row>
    <row r="14" customFormat="false" ht="17.25" hidden="false" customHeight="true" outlineLevel="0" collapsed="false">
      <c r="A14" s="10" t="s">
        <v>698</v>
      </c>
      <c r="B14" s="10"/>
      <c r="C14" s="10"/>
      <c r="D14" s="10"/>
      <c r="E14" s="10"/>
      <c r="F14" s="10"/>
      <c r="G14" s="10"/>
    </row>
    <row r="16" customFormat="false" ht="15" hidden="false" customHeight="true" outlineLevel="0" collapsed="false">
      <c r="A16" s="4" t="s">
        <v>699</v>
      </c>
      <c r="B16" s="4" t="s">
        <v>700</v>
      </c>
      <c r="C16" s="4" t="s">
        <v>701</v>
      </c>
      <c r="D16" s="4" t="s">
        <v>702</v>
      </c>
    </row>
    <row r="17" customFormat="false" ht="27.75" hidden="false" customHeight="true" outlineLevel="0" collapsed="false">
      <c r="A17" s="5" t="s">
        <v>703</v>
      </c>
      <c r="B17" s="6" t="s">
        <v>704</v>
      </c>
      <c r="C17" s="6" t="s">
        <v>705</v>
      </c>
      <c r="D17" s="6" t="s">
        <v>706</v>
      </c>
    </row>
    <row r="18" customFormat="false" ht="15" hidden="false" customHeight="true" outlineLevel="0" collapsed="false">
      <c r="A18" s="5" t="s">
        <v>707</v>
      </c>
      <c r="B18" s="6" t="s">
        <v>708</v>
      </c>
      <c r="C18" s="6" t="s">
        <v>709</v>
      </c>
      <c r="D18" s="6" t="s">
        <v>710</v>
      </c>
    </row>
    <row r="19" customFormat="false" ht="27.75" hidden="false" customHeight="true" outlineLevel="0" collapsed="false">
      <c r="A19" s="5" t="s">
        <v>711</v>
      </c>
      <c r="B19" s="6" t="s">
        <v>712</v>
      </c>
      <c r="C19" s="6" t="s">
        <v>713</v>
      </c>
      <c r="D19" s="6" t="s">
        <v>714</v>
      </c>
    </row>
    <row r="20" customFormat="false" ht="27.75" hidden="false" customHeight="true" outlineLevel="0" collapsed="false">
      <c r="A20" s="5" t="s">
        <v>715</v>
      </c>
      <c r="B20" s="6" t="s">
        <v>716</v>
      </c>
      <c r="C20" s="6" t="s">
        <v>717</v>
      </c>
      <c r="D20" s="6" t="s">
        <v>718</v>
      </c>
    </row>
    <row r="21" customFormat="false" ht="27.75" hidden="false" customHeight="true" outlineLevel="0" collapsed="false">
      <c r="A21" s="5" t="s">
        <v>719</v>
      </c>
      <c r="B21" s="6" t="s">
        <v>720</v>
      </c>
      <c r="C21" s="6" t="s">
        <v>721</v>
      </c>
      <c r="D21" s="6" t="s">
        <v>722</v>
      </c>
    </row>
    <row r="22" customFormat="false" ht="27.75" hidden="false" customHeight="true" outlineLevel="0" collapsed="false">
      <c r="A22" s="5" t="s">
        <v>723</v>
      </c>
      <c r="B22" s="6" t="s">
        <v>724</v>
      </c>
      <c r="C22" s="6" t="s">
        <v>725</v>
      </c>
      <c r="D22" s="6" t="s">
        <v>726</v>
      </c>
    </row>
    <row r="23" customFormat="false" ht="27.75" hidden="false" customHeight="true" outlineLevel="0" collapsed="false">
      <c r="A23" s="5" t="s">
        <v>727</v>
      </c>
      <c r="B23" s="6" t="s">
        <v>728</v>
      </c>
      <c r="C23" s="6" t="s">
        <v>729</v>
      </c>
      <c r="D23" s="6" t="s">
        <v>665</v>
      </c>
    </row>
    <row r="24" customFormat="false" ht="27.75" hidden="false" customHeight="true" outlineLevel="0" collapsed="false">
      <c r="A24" s="5" t="s">
        <v>730</v>
      </c>
      <c r="B24" s="6" t="s">
        <v>731</v>
      </c>
      <c r="C24" s="6" t="s">
        <v>732</v>
      </c>
      <c r="D24" s="6" t="s">
        <v>733</v>
      </c>
    </row>
    <row r="27" customFormat="false" ht="17.25" hidden="false" customHeight="true" outlineLevel="0" collapsed="false">
      <c r="A27" s="10" t="s">
        <v>734</v>
      </c>
      <c r="B27" s="10"/>
      <c r="C27" s="10"/>
      <c r="D27" s="10"/>
      <c r="E27" s="10"/>
      <c r="F27" s="10"/>
      <c r="G27" s="10"/>
    </row>
    <row r="29" customFormat="false" ht="27.75" hidden="false" customHeight="true" outlineLevel="0" collapsed="false">
      <c r="A29" s="4" t="s">
        <v>367</v>
      </c>
      <c r="B29" s="4" t="s">
        <v>735</v>
      </c>
      <c r="C29" s="4" t="s">
        <v>736</v>
      </c>
      <c r="D29" s="4" t="s">
        <v>737</v>
      </c>
      <c r="E29" s="4" t="s">
        <v>120</v>
      </c>
    </row>
    <row r="30" customFormat="false" ht="27.75" hidden="false" customHeight="true" outlineLevel="0" collapsed="false">
      <c r="A30" s="5" t="s">
        <v>738</v>
      </c>
      <c r="B30" s="6" t="s">
        <v>739</v>
      </c>
      <c r="C30" s="6" t="s">
        <v>740</v>
      </c>
      <c r="D30" s="6" t="s">
        <v>741</v>
      </c>
      <c r="E30" s="6" t="s">
        <v>742</v>
      </c>
    </row>
    <row r="31" customFormat="false" ht="27.75" hidden="false" customHeight="true" outlineLevel="0" collapsed="false">
      <c r="A31" s="5" t="s">
        <v>743</v>
      </c>
      <c r="B31" s="6" t="s">
        <v>744</v>
      </c>
      <c r="C31" s="6" t="s">
        <v>745</v>
      </c>
      <c r="D31" s="6" t="s">
        <v>741</v>
      </c>
      <c r="E31" s="6" t="s">
        <v>746</v>
      </c>
    </row>
    <row r="32" customFormat="false" ht="41.25" hidden="false" customHeight="true" outlineLevel="0" collapsed="false">
      <c r="A32" s="5" t="s">
        <v>747</v>
      </c>
      <c r="B32" s="6" t="s">
        <v>748</v>
      </c>
      <c r="C32" s="6" t="s">
        <v>749</v>
      </c>
      <c r="D32" s="6" t="s">
        <v>750</v>
      </c>
      <c r="E32" s="6" t="s">
        <v>751</v>
      </c>
    </row>
    <row r="33" customFormat="false" ht="41.25" hidden="false" customHeight="true" outlineLevel="0" collapsed="false">
      <c r="A33" s="5" t="s">
        <v>752</v>
      </c>
      <c r="B33" s="6" t="s">
        <v>753</v>
      </c>
      <c r="C33" s="6" t="s">
        <v>749</v>
      </c>
      <c r="D33" s="6" t="s">
        <v>741</v>
      </c>
      <c r="E33" s="6" t="s">
        <v>754</v>
      </c>
    </row>
    <row r="34" customFormat="false" ht="27.75" hidden="false" customHeight="true" outlineLevel="0" collapsed="false">
      <c r="A34" s="5" t="s">
        <v>755</v>
      </c>
      <c r="B34" s="6" t="s">
        <v>756</v>
      </c>
      <c r="C34" s="6" t="s">
        <v>757</v>
      </c>
      <c r="D34" s="6" t="s">
        <v>758</v>
      </c>
      <c r="E34" s="6" t="s">
        <v>759</v>
      </c>
    </row>
    <row r="35" customFormat="false" ht="27.75" hidden="false" customHeight="true" outlineLevel="0" collapsed="false">
      <c r="A35" s="5" t="s">
        <v>760</v>
      </c>
      <c r="B35" s="6" t="s">
        <v>761</v>
      </c>
      <c r="C35" s="6" t="s">
        <v>762</v>
      </c>
      <c r="D35" s="6" t="s">
        <v>758</v>
      </c>
      <c r="E35" s="6" t="s">
        <v>763</v>
      </c>
    </row>
    <row r="36" customFormat="false" ht="15" hidden="false" customHeight="true" outlineLevel="0" collapsed="false">
      <c r="A36" s="5" t="s">
        <v>764</v>
      </c>
      <c r="B36" s="6" t="s">
        <v>765</v>
      </c>
      <c r="C36" s="6" t="s">
        <v>158</v>
      </c>
      <c r="D36" s="6" t="s">
        <v>766</v>
      </c>
      <c r="E36" s="6" t="s">
        <v>767</v>
      </c>
    </row>
  </sheetData>
  <mergeCells count="4">
    <mergeCell ref="A1:J1"/>
    <mergeCell ref="A2:J2"/>
    <mergeCell ref="A14:G14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94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44"/>
  </cols>
  <sheetData>
    <row r="1" customFormat="false" ht="19.5" hidden="false" customHeight="true" outlineLevel="0" collapsed="false">
      <c r="A1" s="2" t="s">
        <v>768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769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770</v>
      </c>
      <c r="B4" s="4" t="s">
        <v>771</v>
      </c>
      <c r="C4" s="4" t="s">
        <v>772</v>
      </c>
      <c r="D4" s="4" t="s">
        <v>773</v>
      </c>
      <c r="E4" s="4" t="s">
        <v>120</v>
      </c>
    </row>
    <row r="5" customFormat="false" ht="15" hidden="false" customHeight="true" outlineLevel="0" collapsed="false">
      <c r="A5" s="5" t="s">
        <v>774</v>
      </c>
      <c r="B5" s="6" t="s">
        <v>775</v>
      </c>
      <c r="C5" s="6" t="s">
        <v>776</v>
      </c>
      <c r="D5" s="6" t="s">
        <v>777</v>
      </c>
      <c r="E5" s="6" t="s">
        <v>778</v>
      </c>
    </row>
    <row r="6" customFormat="false" ht="15" hidden="false" customHeight="true" outlineLevel="0" collapsed="false">
      <c r="A6" s="5" t="s">
        <v>774</v>
      </c>
      <c r="B6" s="6" t="s">
        <v>779</v>
      </c>
      <c r="C6" s="6" t="s">
        <v>780</v>
      </c>
      <c r="D6" s="6" t="s">
        <v>781</v>
      </c>
      <c r="E6" s="6" t="s">
        <v>782</v>
      </c>
    </row>
    <row r="7" customFormat="false" ht="15" hidden="false" customHeight="true" outlineLevel="0" collapsed="false">
      <c r="A7" s="5" t="s">
        <v>774</v>
      </c>
      <c r="B7" s="6" t="s">
        <v>783</v>
      </c>
      <c r="C7" s="6" t="s">
        <v>784</v>
      </c>
      <c r="D7" s="6" t="s">
        <v>785</v>
      </c>
      <c r="E7" s="6" t="s">
        <v>786</v>
      </c>
    </row>
    <row r="8" customFormat="false" ht="15" hidden="false" customHeight="true" outlineLevel="0" collapsed="false">
      <c r="A8" s="5" t="s">
        <v>787</v>
      </c>
      <c r="B8" s="6" t="s">
        <v>788</v>
      </c>
      <c r="C8" s="6" t="s">
        <v>789</v>
      </c>
      <c r="D8" s="6" t="s">
        <v>790</v>
      </c>
      <c r="E8" s="6" t="s">
        <v>791</v>
      </c>
    </row>
    <row r="9" customFormat="false" ht="27.75" hidden="false" customHeight="true" outlineLevel="0" collapsed="false">
      <c r="A9" s="5" t="s">
        <v>787</v>
      </c>
      <c r="B9" s="6" t="s">
        <v>792</v>
      </c>
      <c r="C9" s="6" t="s">
        <v>793</v>
      </c>
      <c r="D9" s="6" t="s">
        <v>794</v>
      </c>
      <c r="E9" s="6" t="s">
        <v>795</v>
      </c>
    </row>
    <row r="10" customFormat="false" ht="15" hidden="false" customHeight="true" outlineLevel="0" collapsed="false">
      <c r="A10" s="5" t="s">
        <v>787</v>
      </c>
      <c r="B10" s="6" t="s">
        <v>796</v>
      </c>
      <c r="C10" s="6" t="s">
        <v>797</v>
      </c>
      <c r="D10" s="6" t="s">
        <v>798</v>
      </c>
      <c r="E10" s="6" t="s">
        <v>799</v>
      </c>
    </row>
    <row r="11" customFormat="false" ht="15" hidden="false" customHeight="true" outlineLevel="0" collapsed="false">
      <c r="A11" s="5" t="s">
        <v>800</v>
      </c>
      <c r="B11" s="6" t="s">
        <v>801</v>
      </c>
      <c r="C11" s="6" t="s">
        <v>802</v>
      </c>
      <c r="D11" s="6" t="s">
        <v>803</v>
      </c>
      <c r="E11" s="6" t="s">
        <v>804</v>
      </c>
    </row>
    <row r="12" customFormat="false" ht="15" hidden="false" customHeight="true" outlineLevel="0" collapsed="false">
      <c r="A12" s="5" t="s">
        <v>800</v>
      </c>
      <c r="B12" s="6" t="s">
        <v>805</v>
      </c>
      <c r="C12" s="6" t="s">
        <v>806</v>
      </c>
      <c r="D12" s="6" t="s">
        <v>807</v>
      </c>
      <c r="E12" s="6" t="s">
        <v>808</v>
      </c>
    </row>
    <row r="13" customFormat="false" ht="15" hidden="false" customHeight="true" outlineLevel="0" collapsed="false">
      <c r="A13" s="5" t="s">
        <v>809</v>
      </c>
      <c r="B13" s="6" t="s">
        <v>810</v>
      </c>
      <c r="C13" s="6" t="s">
        <v>811</v>
      </c>
      <c r="D13" s="6" t="s">
        <v>807</v>
      </c>
      <c r="E13" s="6" t="s">
        <v>812</v>
      </c>
    </row>
    <row r="14" customFormat="false" ht="15" hidden="false" customHeight="true" outlineLevel="0" collapsed="false">
      <c r="A14" s="5" t="s">
        <v>813</v>
      </c>
      <c r="B14" s="6" t="s">
        <v>814</v>
      </c>
      <c r="C14" s="6" t="s">
        <v>815</v>
      </c>
      <c r="D14" s="6" t="s">
        <v>816</v>
      </c>
      <c r="E14" s="6" t="s">
        <v>817</v>
      </c>
    </row>
    <row r="15" customFormat="false" ht="15" hidden="false" customHeight="true" outlineLevel="0" collapsed="false">
      <c r="A15" s="5" t="s">
        <v>813</v>
      </c>
      <c r="B15" s="6" t="s">
        <v>818</v>
      </c>
      <c r="C15" s="6" t="s">
        <v>819</v>
      </c>
      <c r="D15" s="6" t="s">
        <v>816</v>
      </c>
      <c r="E15" s="6" t="s">
        <v>820</v>
      </c>
    </row>
    <row r="16" customFormat="false" ht="15" hidden="false" customHeight="true" outlineLevel="0" collapsed="false">
      <c r="A16" s="5" t="s">
        <v>813</v>
      </c>
      <c r="B16" s="6" t="s">
        <v>821</v>
      </c>
      <c r="C16" s="6" t="s">
        <v>393</v>
      </c>
      <c r="D16" s="6" t="s">
        <v>822</v>
      </c>
      <c r="E16" s="6" t="s">
        <v>823</v>
      </c>
    </row>
    <row r="17" customFormat="false" ht="15" hidden="false" customHeight="true" outlineLevel="0" collapsed="false">
      <c r="A17" s="5" t="s">
        <v>824</v>
      </c>
      <c r="B17" s="6" t="s">
        <v>825</v>
      </c>
      <c r="C17" s="6" t="s">
        <v>826</v>
      </c>
      <c r="D17" s="6" t="s">
        <v>827</v>
      </c>
      <c r="E17" s="6" t="s">
        <v>828</v>
      </c>
    </row>
    <row r="18" customFormat="false" ht="27.75" hidden="false" customHeight="true" outlineLevel="0" collapsed="false">
      <c r="A18" s="5" t="s">
        <v>824</v>
      </c>
      <c r="B18" s="6" t="s">
        <v>829</v>
      </c>
      <c r="C18" s="6" t="s">
        <v>830</v>
      </c>
      <c r="D18" s="6" t="s">
        <v>831</v>
      </c>
      <c r="E18" s="6" t="s">
        <v>832</v>
      </c>
    </row>
    <row r="19" customFormat="false" ht="15" hidden="false" customHeight="true" outlineLevel="0" collapsed="false">
      <c r="A19" s="5" t="s">
        <v>833</v>
      </c>
      <c r="B19" s="6" t="s">
        <v>834</v>
      </c>
      <c r="C19" s="6" t="s">
        <v>835</v>
      </c>
      <c r="D19" s="6" t="s">
        <v>836</v>
      </c>
      <c r="E19" s="6" t="s">
        <v>837</v>
      </c>
    </row>
    <row r="20" customFormat="false" ht="15" hidden="false" customHeight="true" outlineLevel="0" collapsed="false">
      <c r="A20" s="5" t="s">
        <v>833</v>
      </c>
      <c r="B20" s="6" t="s">
        <v>838</v>
      </c>
      <c r="C20" s="6" t="s">
        <v>839</v>
      </c>
      <c r="D20" s="6" t="s">
        <v>840</v>
      </c>
      <c r="E20" s="6" t="s">
        <v>841</v>
      </c>
    </row>
    <row r="21" customFormat="false" ht="15" hidden="false" customHeight="true" outlineLevel="0" collapsed="false">
      <c r="A21" s="5" t="s">
        <v>842</v>
      </c>
      <c r="B21" s="6" t="s">
        <v>843</v>
      </c>
      <c r="C21" s="6" t="s">
        <v>844</v>
      </c>
      <c r="D21" s="6" t="s">
        <v>831</v>
      </c>
      <c r="E21" s="6" t="s">
        <v>845</v>
      </c>
    </row>
    <row r="22" customFormat="false" ht="15" hidden="false" customHeight="true" outlineLevel="0" collapsed="false">
      <c r="A22" s="5" t="s">
        <v>842</v>
      </c>
      <c r="B22" s="6" t="s">
        <v>846</v>
      </c>
      <c r="C22" s="6" t="s">
        <v>847</v>
      </c>
      <c r="D22" s="6" t="s">
        <v>848</v>
      </c>
      <c r="E22" s="6" t="s">
        <v>849</v>
      </c>
    </row>
    <row r="23" customFormat="false" ht="15" hidden="false" customHeight="true" outlineLevel="0" collapsed="false">
      <c r="A23" s="5" t="s">
        <v>850</v>
      </c>
      <c r="B23" s="6" t="s">
        <v>851</v>
      </c>
      <c r="C23" s="6" t="s">
        <v>852</v>
      </c>
      <c r="D23" s="6" t="s">
        <v>853</v>
      </c>
      <c r="E23" s="6" t="s">
        <v>854</v>
      </c>
    </row>
    <row r="24" customFormat="false" ht="15" hidden="false" customHeight="true" outlineLevel="0" collapsed="false">
      <c r="A24" s="5" t="s">
        <v>850</v>
      </c>
      <c r="B24" s="6" t="s">
        <v>855</v>
      </c>
      <c r="C24" s="6" t="s">
        <v>856</v>
      </c>
      <c r="D24" s="6" t="s">
        <v>857</v>
      </c>
      <c r="E24" s="6" t="s">
        <v>858</v>
      </c>
    </row>
    <row r="25" customFormat="false" ht="15" hidden="false" customHeight="true" outlineLevel="0" collapsed="false">
      <c r="A25" s="5" t="s">
        <v>859</v>
      </c>
      <c r="B25" s="6" t="s">
        <v>860</v>
      </c>
      <c r="C25" s="6" t="s">
        <v>861</v>
      </c>
      <c r="D25" s="6" t="s">
        <v>862</v>
      </c>
      <c r="E25" s="6" t="s">
        <v>863</v>
      </c>
    </row>
    <row r="26" customFormat="false" ht="15" hidden="false" customHeight="true" outlineLevel="0" collapsed="false">
      <c r="A26" s="5" t="s">
        <v>859</v>
      </c>
      <c r="B26" s="6" t="s">
        <v>864</v>
      </c>
      <c r="C26" s="6" t="s">
        <v>865</v>
      </c>
      <c r="D26" s="6" t="s">
        <v>866</v>
      </c>
      <c r="E26" s="6" t="s">
        <v>867</v>
      </c>
    </row>
    <row r="27" customFormat="false" ht="15" hidden="false" customHeight="true" outlineLevel="0" collapsed="false">
      <c r="A27" s="5" t="s">
        <v>859</v>
      </c>
      <c r="B27" s="6" t="s">
        <v>868</v>
      </c>
      <c r="C27" s="6" t="s">
        <v>869</v>
      </c>
      <c r="D27" s="6" t="s">
        <v>870</v>
      </c>
      <c r="E27" s="6" t="s">
        <v>871</v>
      </c>
    </row>
    <row r="28" customFormat="false" ht="15" hidden="false" customHeight="true" outlineLevel="0" collapsed="false">
      <c r="A28" s="5" t="s">
        <v>859</v>
      </c>
      <c r="B28" s="6" t="s">
        <v>509</v>
      </c>
      <c r="C28" s="6" t="s">
        <v>872</v>
      </c>
      <c r="D28" s="6" t="s">
        <v>870</v>
      </c>
      <c r="E28" s="6" t="s">
        <v>873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2026-04-13T08:07:52Z</dcterms:created>
  <dc:creator>openpyxl</dc:creator>
  <dc:description/>
  <dc:language>en-US</dc:language>
  <cp:lastModifiedBy/>
  <dcterms:modified xsi:type="dcterms:W3CDTF">2026-04-13T08:08:13Z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